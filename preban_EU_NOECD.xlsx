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dbfc93be6263a43/Documents/GitHub/EBGN645 Arianna Smith/"/>
    </mc:Choice>
  </mc:AlternateContent>
  <xr:revisionPtr revIDLastSave="187" documentId="11_34407A2CC86886DAEC6171BC3FEC0860EA8DA122" xr6:coauthVersionLast="47" xr6:coauthVersionMax="47" xr10:uidLastSave="{22A0D880-E1DB-4E85-B487-1C49D3D45BB9}"/>
  <bookViews>
    <workbookView xWindow="28680" yWindow="-120" windowWidth="29040" windowHeight="15720" firstSheet="2" activeTab="2" xr2:uid="{00000000-000D-0000-FFFF-FFFF00000000}"/>
  </bookViews>
  <sheets>
    <sheet name="r" sheetId="1" r:id="rId1"/>
    <sheet name="al" sheetId="2" r:id="rId2"/>
    <sheet name="Table For Milestone 2" sheetId="21" r:id="rId3"/>
    <sheet name="pbar" sheetId="3" r:id="rId4"/>
    <sheet name="qbar_s" sheetId="4" r:id="rId5"/>
    <sheet name="qbar_d" sheetId="5" r:id="rId6"/>
    <sheet name="e_s" sheetId="6" r:id="rId7"/>
    <sheet name="e_d" sheetId="7" r:id="rId8"/>
    <sheet name="a" sheetId="8" r:id="rId9"/>
    <sheet name="b" sheetId="9" r:id="rId10"/>
    <sheet name="c" sheetId="10" r:id="rId11"/>
    <sheet name="d" sheetId="11" r:id="rId12"/>
    <sheet name="rr" sheetId="12" r:id="rId13"/>
    <sheet name="t" sheetId="13" r:id="rId14"/>
    <sheet name="Qd" sheetId="14" r:id="rId15"/>
    <sheet name="Qs" sheetId="15" r:id="rId16"/>
    <sheet name="W" sheetId="16" r:id="rId17"/>
    <sheet name="objfn" sheetId="17" r:id="rId18"/>
    <sheet name="ship" sheetId="18" r:id="rId19"/>
    <sheet name="market_clearing_r" sheetId="19" r:id="rId20"/>
    <sheet name="rep" sheetId="20" r:id="rId21"/>
  </sheets>
  <definedNames>
    <definedName name="_xlnm._FilterDatabase" localSheetId="2" hidden="1">'Table For Milestone 2'!$N$3:$R$27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" i="21" l="1"/>
  <c r="AH5" i="21" s="1"/>
  <c r="AF6" i="21"/>
  <c r="AH6" i="21" s="1"/>
  <c r="AF7" i="21"/>
  <c r="AF8" i="21"/>
  <c r="AF9" i="21"/>
  <c r="AH9" i="21" s="1"/>
  <c r="AF10" i="21"/>
  <c r="AF11" i="21"/>
  <c r="AH11" i="21" s="1"/>
  <c r="AF12" i="21"/>
  <c r="AH12" i="21" s="1"/>
  <c r="AF13" i="21"/>
  <c r="AF14" i="21"/>
  <c r="AF15" i="21"/>
  <c r="AF4" i="21"/>
  <c r="AH4" i="21" s="1"/>
</calcChain>
</file>

<file path=xl/sharedStrings.xml><?xml version="1.0" encoding="utf-8"?>
<sst xmlns="http://schemas.openxmlformats.org/spreadsheetml/2006/main" count="858" uniqueCount="30">
  <si>
    <t>USA</t>
  </si>
  <si>
    <t>EU</t>
  </si>
  <si>
    <t>OECD</t>
  </si>
  <si>
    <t>N_OECD</t>
  </si>
  <si>
    <t>primary</t>
  </si>
  <si>
    <t>secondary</t>
  </si>
  <si>
    <t>level</t>
  </si>
  <si>
    <t>marginal</t>
  </si>
  <si>
    <t>lower</t>
  </si>
  <si>
    <t>upper</t>
  </si>
  <si>
    <t>scale</t>
  </si>
  <si>
    <t>INF</t>
  </si>
  <si>
    <t>EPS</t>
  </si>
  <si>
    <t>-INF</t>
  </si>
  <si>
    <t>BAU</t>
  </si>
  <si>
    <t>Qd</t>
  </si>
  <si>
    <t>Qs</t>
  </si>
  <si>
    <t>P</t>
  </si>
  <si>
    <t>Pre Ban</t>
  </si>
  <si>
    <t>Post Ban</t>
  </si>
  <si>
    <t xml:space="preserve">Exporter </t>
  </si>
  <si>
    <t>Importer</t>
  </si>
  <si>
    <t>Aluminum Type</t>
  </si>
  <si>
    <t>Pre-Export Ban</t>
  </si>
  <si>
    <t>Post-Export Ban</t>
  </si>
  <si>
    <t>NON_OECD</t>
  </si>
  <si>
    <t xml:space="preserve">Table 1: Export/Import Quantities Pre and Post EU export ban </t>
  </si>
  <si>
    <t xml:space="preserve">Change </t>
  </si>
  <si>
    <t>Table 2: Change in Secondary Aluminum Exports</t>
  </si>
  <si>
    <t xml:space="preserve">% Change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</si>
</sst>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3" borderId="1" xfId="0" applyFill="1" applyBorder="1" applyAlignment="1">
      <alignment horizontal="center" wrapText="1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9" fontId="2" fillId="3" borderId="0" xfId="1" applyFont="1" applyFill="1"/>
    <xf numFmtId="0" fontId="2" fillId="3" borderId="0" xfId="0" applyFont="1" applyFill="1" applyBorder="1"/>
    <xf numFmtId="0" fontId="0" fillId="3" borderId="0" xfId="0" applyFill="1" applyBorder="1"/>
    <xf numFmtId="0" fontId="0" fillId="0" borderId="0" xfId="0" applyBorder="1"/>
    <xf numFmtId="0" fontId="2" fillId="3" borderId="0" xfId="0" applyFont="1" applyFill="1" applyBorder="1" applyAlignment="1">
      <alignment horizontal="center" wrapText="1"/>
    </xf>
    <xf numFmtId="0" fontId="2" fillId="3" borderId="0" xfId="0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F260C-9204-469C-9A37-099ED03443BA}">
  <dimension ref="B1:AK29"/>
  <sheetViews>
    <sheetView tabSelected="1" topLeftCell="R1" workbookViewId="0">
      <selection activeCell="AI26" sqref="AI26"/>
    </sheetView>
  </sheetViews>
  <sheetFormatPr defaultRowHeight="14.4" x14ac:dyDescent="0.3"/>
  <cols>
    <col min="4" max="4" width="13.33203125" customWidth="1"/>
    <col min="5" max="5" width="17.88671875" customWidth="1"/>
    <col min="9" max="9" width="12" customWidth="1"/>
    <col min="13" max="13" width="6.21875" customWidth="1"/>
    <col min="14" max="14" width="12.44140625" customWidth="1"/>
    <col min="15" max="15" width="14.21875" customWidth="1"/>
    <col min="16" max="16" width="15.44140625" customWidth="1"/>
    <col min="17" max="18" width="13.109375" customWidth="1"/>
    <col min="23" max="23" width="12.21875" customWidth="1"/>
    <col min="24" max="24" width="13.44140625" customWidth="1"/>
    <col min="25" max="25" width="14.77734375" customWidth="1"/>
    <col min="28" max="28" width="13.5546875" customWidth="1"/>
    <col min="29" max="29" width="12.5546875" customWidth="1"/>
    <col min="30" max="30" width="16.21875" customWidth="1"/>
    <col min="31" max="31" width="16.77734375" customWidth="1"/>
    <col min="32" max="32" width="12" customWidth="1"/>
    <col min="33" max="33" width="12" style="16" customWidth="1"/>
    <col min="34" max="34" width="17.109375" customWidth="1"/>
  </cols>
  <sheetData>
    <row r="1" spans="2:37" ht="15.6" x14ac:dyDescent="0.3">
      <c r="L1" s="3"/>
      <c r="M1" s="3"/>
      <c r="N1" s="7"/>
      <c r="O1" s="7"/>
      <c r="P1" s="7"/>
      <c r="Q1" s="7"/>
      <c r="R1" s="7"/>
      <c r="S1" s="3"/>
      <c r="AA1" s="7"/>
      <c r="AB1" s="7"/>
      <c r="AC1" s="7"/>
      <c r="AD1" s="7"/>
      <c r="AE1" s="7"/>
      <c r="AF1" s="7"/>
      <c r="AG1" s="14"/>
      <c r="AH1" s="7"/>
      <c r="AI1" s="7"/>
      <c r="AJ1" s="7"/>
      <c r="AK1" s="3"/>
    </row>
    <row r="2" spans="2:37" ht="15.6" x14ac:dyDescent="0.3">
      <c r="D2" t="s">
        <v>18</v>
      </c>
      <c r="I2" t="s">
        <v>19</v>
      </c>
      <c r="L2" s="3"/>
      <c r="M2" s="3"/>
      <c r="N2" s="8" t="s">
        <v>26</v>
      </c>
      <c r="O2" s="8"/>
      <c r="P2" s="8"/>
      <c r="Q2" s="8"/>
      <c r="R2" s="8"/>
      <c r="S2" s="3"/>
      <c r="AA2" s="7"/>
      <c r="AB2" s="8" t="s">
        <v>28</v>
      </c>
      <c r="AC2" s="8"/>
      <c r="AD2" s="8"/>
      <c r="AE2" s="8"/>
      <c r="AF2" s="8"/>
      <c r="AG2" s="18"/>
      <c r="AH2" s="18"/>
      <c r="AI2" s="7"/>
      <c r="AJ2" s="7"/>
      <c r="AK2" s="3"/>
    </row>
    <row r="3" spans="2:37" ht="34.200000000000003" customHeight="1" x14ac:dyDescent="0.3">
      <c r="E3" t="s">
        <v>6</v>
      </c>
      <c r="J3" t="s">
        <v>6</v>
      </c>
      <c r="L3" s="3"/>
      <c r="M3" s="3"/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3"/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AA3" s="7"/>
      <c r="AB3" s="9" t="s">
        <v>20</v>
      </c>
      <c r="AC3" s="9" t="s">
        <v>21</v>
      </c>
      <c r="AD3" s="9" t="s">
        <v>23</v>
      </c>
      <c r="AE3" s="9" t="s">
        <v>24</v>
      </c>
      <c r="AF3" s="9" t="s">
        <v>27</v>
      </c>
      <c r="AG3" s="17"/>
      <c r="AH3" s="12" t="s">
        <v>29</v>
      </c>
      <c r="AI3" s="7"/>
      <c r="AJ3" s="7"/>
      <c r="AK3" s="3"/>
    </row>
    <row r="4" spans="2:37" ht="15.6" x14ac:dyDescent="0.3">
      <c r="B4" t="s">
        <v>0</v>
      </c>
      <c r="C4" t="s">
        <v>1</v>
      </c>
      <c r="D4" t="s">
        <v>4</v>
      </c>
      <c r="E4">
        <v>0</v>
      </c>
      <c r="G4" t="s">
        <v>0</v>
      </c>
      <c r="H4" t="s">
        <v>1</v>
      </c>
      <c r="I4" t="s">
        <v>4</v>
      </c>
      <c r="J4">
        <v>0</v>
      </c>
      <c r="L4" s="3"/>
      <c r="M4" s="3"/>
      <c r="N4" s="10" t="s">
        <v>0</v>
      </c>
      <c r="O4" s="10" t="s">
        <v>1</v>
      </c>
      <c r="P4" s="10" t="s">
        <v>4</v>
      </c>
      <c r="Q4" s="11">
        <v>0</v>
      </c>
      <c r="R4" s="11">
        <v>0</v>
      </c>
      <c r="S4" s="5"/>
      <c r="T4" s="2"/>
      <c r="U4" s="4" t="s">
        <v>0</v>
      </c>
      <c r="V4" s="4" t="s">
        <v>1</v>
      </c>
      <c r="W4" s="4" t="s">
        <v>4</v>
      </c>
      <c r="X4" s="5">
        <v>0</v>
      </c>
      <c r="Y4" s="5">
        <v>0</v>
      </c>
      <c r="AA4" s="7"/>
      <c r="AB4" s="10" t="s">
        <v>0</v>
      </c>
      <c r="AC4" s="10" t="s">
        <v>1</v>
      </c>
      <c r="AD4" s="11">
        <v>505986.13572834042</v>
      </c>
      <c r="AE4" s="11">
        <v>0</v>
      </c>
      <c r="AF4" s="7">
        <f>AE4-AD4</f>
        <v>-505986.13572834042</v>
      </c>
      <c r="AG4" s="14"/>
      <c r="AH4" s="13">
        <f>AF4/AD4</f>
        <v>-1</v>
      </c>
      <c r="AI4" s="7"/>
      <c r="AJ4" s="7"/>
      <c r="AK4" s="3"/>
    </row>
    <row r="5" spans="2:37" ht="15.6" x14ac:dyDescent="0.3">
      <c r="B5" s="1" t="s">
        <v>0</v>
      </c>
      <c r="C5" s="1" t="s">
        <v>1</v>
      </c>
      <c r="D5" s="1" t="s">
        <v>5</v>
      </c>
      <c r="E5" s="1">
        <v>505986.13572834042</v>
      </c>
      <c r="F5" s="1"/>
      <c r="G5" s="1" t="s">
        <v>0</v>
      </c>
      <c r="H5" s="1" t="s">
        <v>1</v>
      </c>
      <c r="I5" s="1" t="s">
        <v>5</v>
      </c>
      <c r="J5" s="1">
        <v>0</v>
      </c>
      <c r="L5" s="3"/>
      <c r="M5" s="3"/>
      <c r="N5" s="10" t="s">
        <v>0</v>
      </c>
      <c r="O5" s="10" t="s">
        <v>2</v>
      </c>
      <c r="P5" s="10" t="s">
        <v>4</v>
      </c>
      <c r="Q5" s="11">
        <v>0</v>
      </c>
      <c r="R5" s="11">
        <v>0</v>
      </c>
      <c r="S5" s="5"/>
      <c r="T5" s="2"/>
      <c r="U5" s="4" t="s">
        <v>0</v>
      </c>
      <c r="V5" s="4" t="s">
        <v>2</v>
      </c>
      <c r="W5" s="4" t="s">
        <v>4</v>
      </c>
      <c r="X5" s="5">
        <v>0</v>
      </c>
      <c r="Y5" s="5">
        <v>0</v>
      </c>
      <c r="AA5" s="7"/>
      <c r="AB5" s="10" t="s">
        <v>0</v>
      </c>
      <c r="AC5" s="10" t="s">
        <v>2</v>
      </c>
      <c r="AD5" s="11">
        <v>597006.93213582539</v>
      </c>
      <c r="AE5" s="11">
        <v>509937.07966996293</v>
      </c>
      <c r="AF5" s="7">
        <f t="shared" ref="AF5:AF15" si="0">AE5-AD5</f>
        <v>-87069.852465862466</v>
      </c>
      <c r="AG5" s="14"/>
      <c r="AH5" s="13">
        <f>AF5/AD5</f>
        <v>-0.14584395553727533</v>
      </c>
      <c r="AI5" s="7"/>
      <c r="AJ5" s="7"/>
      <c r="AK5" s="3"/>
    </row>
    <row r="6" spans="2:37" ht="15.6" x14ac:dyDescent="0.3">
      <c r="B6" t="s">
        <v>0</v>
      </c>
      <c r="C6" t="s">
        <v>2</v>
      </c>
      <c r="D6" t="s">
        <v>4</v>
      </c>
      <c r="E6">
        <v>0</v>
      </c>
      <c r="G6" t="s">
        <v>0</v>
      </c>
      <c r="H6" t="s">
        <v>2</v>
      </c>
      <c r="I6" t="s">
        <v>4</v>
      </c>
      <c r="J6">
        <v>0</v>
      </c>
      <c r="L6" s="3"/>
      <c r="M6" s="3"/>
      <c r="N6" s="10" t="s">
        <v>0</v>
      </c>
      <c r="O6" s="10" t="s">
        <v>25</v>
      </c>
      <c r="P6" s="10" t="s">
        <v>4</v>
      </c>
      <c r="Q6" s="11">
        <v>0</v>
      </c>
      <c r="R6" s="11">
        <v>0</v>
      </c>
      <c r="S6" s="5"/>
      <c r="T6" s="2"/>
      <c r="U6" s="4" t="s">
        <v>0</v>
      </c>
      <c r="V6" s="4" t="s">
        <v>25</v>
      </c>
      <c r="W6" s="4" t="s">
        <v>4</v>
      </c>
      <c r="X6" s="5">
        <v>0</v>
      </c>
      <c r="Y6" s="5">
        <v>0</v>
      </c>
      <c r="AA6" s="7"/>
      <c r="AB6" s="10" t="s">
        <v>0</v>
      </c>
      <c r="AC6" s="10" t="s">
        <v>25</v>
      </c>
      <c r="AD6" s="11">
        <v>597006.93213583413</v>
      </c>
      <c r="AE6" s="11">
        <v>1469912.4868943091</v>
      </c>
      <c r="AF6" s="7">
        <f t="shared" si="0"/>
        <v>872905.55475847493</v>
      </c>
      <c r="AG6" s="14"/>
      <c r="AH6" s="13">
        <f>AF6/AD6</f>
        <v>1.4621363802855591</v>
      </c>
      <c r="AI6" s="7"/>
      <c r="AJ6" s="7"/>
      <c r="AK6" s="3"/>
    </row>
    <row r="7" spans="2:37" ht="15.6" x14ac:dyDescent="0.3">
      <c r="B7" s="1" t="s">
        <v>0</v>
      </c>
      <c r="C7" s="1" t="s">
        <v>2</v>
      </c>
      <c r="D7" s="1" t="s">
        <v>5</v>
      </c>
      <c r="E7" s="1">
        <v>597006.93213582539</v>
      </c>
      <c r="F7" s="1"/>
      <c r="G7" s="1" t="s">
        <v>0</v>
      </c>
      <c r="H7" s="1" t="s">
        <v>2</v>
      </c>
      <c r="I7" s="1" t="s">
        <v>5</v>
      </c>
      <c r="J7" s="1">
        <v>509937.07966996293</v>
      </c>
      <c r="L7" s="3"/>
      <c r="M7" s="3"/>
      <c r="N7" s="10" t="s">
        <v>1</v>
      </c>
      <c r="O7" s="10" t="s">
        <v>0</v>
      </c>
      <c r="P7" s="10" t="s">
        <v>4</v>
      </c>
      <c r="Q7" s="11">
        <v>2799999.9999999991</v>
      </c>
      <c r="R7" s="11">
        <v>2800000</v>
      </c>
      <c r="S7" s="5"/>
      <c r="T7" s="2"/>
      <c r="U7" s="4" t="s">
        <v>1</v>
      </c>
      <c r="V7" s="4" t="s">
        <v>0</v>
      </c>
      <c r="W7" s="4" t="s">
        <v>4</v>
      </c>
      <c r="X7" s="5">
        <v>2799999.9999999991</v>
      </c>
      <c r="Y7" s="5">
        <v>2800000</v>
      </c>
      <c r="AA7" s="7"/>
      <c r="AB7" s="10" t="s">
        <v>1</v>
      </c>
      <c r="AC7" s="10" t="s">
        <v>0</v>
      </c>
      <c r="AD7" s="11">
        <v>0</v>
      </c>
      <c r="AE7" s="11">
        <v>206134.89867233901</v>
      </c>
      <c r="AF7" s="7">
        <f t="shared" si="0"/>
        <v>206134.89867233901</v>
      </c>
      <c r="AG7" s="14"/>
      <c r="AH7" s="13"/>
      <c r="AI7" s="7"/>
      <c r="AJ7" s="7"/>
      <c r="AK7" s="3"/>
    </row>
    <row r="8" spans="2:37" ht="15.6" x14ac:dyDescent="0.3">
      <c r="B8" t="s">
        <v>0</v>
      </c>
      <c r="C8" t="s">
        <v>3</v>
      </c>
      <c r="D8" t="s">
        <v>4</v>
      </c>
      <c r="E8">
        <v>0</v>
      </c>
      <c r="G8" t="s">
        <v>0</v>
      </c>
      <c r="H8" t="s">
        <v>3</v>
      </c>
      <c r="I8" t="s">
        <v>4</v>
      </c>
      <c r="J8">
        <v>0</v>
      </c>
      <c r="L8" s="3"/>
      <c r="M8" s="3"/>
      <c r="N8" s="10" t="s">
        <v>1</v>
      </c>
      <c r="O8" s="10" t="s">
        <v>2</v>
      </c>
      <c r="P8" s="10" t="s">
        <v>4</v>
      </c>
      <c r="Q8" s="11">
        <v>0</v>
      </c>
      <c r="R8" s="11">
        <v>0</v>
      </c>
      <c r="S8" s="5"/>
      <c r="T8" s="2"/>
      <c r="U8" s="4" t="s">
        <v>1</v>
      </c>
      <c r="V8" s="4" t="s">
        <v>2</v>
      </c>
      <c r="W8" s="4" t="s">
        <v>4</v>
      </c>
      <c r="X8" s="5">
        <v>0</v>
      </c>
      <c r="Y8" s="5">
        <v>0</v>
      </c>
      <c r="AA8" s="7"/>
      <c r="AB8" s="10" t="s">
        <v>1</v>
      </c>
      <c r="AC8" s="10" t="s">
        <v>2</v>
      </c>
      <c r="AD8" s="11">
        <v>0</v>
      </c>
      <c r="AE8" s="11">
        <v>67901.614498978597</v>
      </c>
      <c r="AF8" s="7">
        <f t="shared" si="0"/>
        <v>67901.614498978597</v>
      </c>
      <c r="AG8" s="14"/>
      <c r="AH8" s="13"/>
      <c r="AI8" s="7"/>
      <c r="AJ8" s="7"/>
      <c r="AK8" s="3"/>
    </row>
    <row r="9" spans="2:37" ht="15.6" x14ac:dyDescent="0.3">
      <c r="B9" s="1" t="s">
        <v>0</v>
      </c>
      <c r="C9" s="1" t="s">
        <v>3</v>
      </c>
      <c r="D9" s="1" t="s">
        <v>5</v>
      </c>
      <c r="E9" s="1">
        <v>597006.93213583413</v>
      </c>
      <c r="F9" s="1"/>
      <c r="G9" s="1" t="s">
        <v>0</v>
      </c>
      <c r="H9" s="1" t="s">
        <v>3</v>
      </c>
      <c r="I9" s="1" t="s">
        <v>5</v>
      </c>
      <c r="J9" s="1">
        <v>1469912.4868943091</v>
      </c>
      <c r="L9" s="3"/>
      <c r="M9" s="3"/>
      <c r="N9" s="10" t="s">
        <v>1</v>
      </c>
      <c r="O9" s="10" t="s">
        <v>25</v>
      </c>
      <c r="P9" s="10" t="s">
        <v>4</v>
      </c>
      <c r="Q9" s="11">
        <v>0</v>
      </c>
      <c r="R9" s="11">
        <v>0</v>
      </c>
      <c r="S9" s="5"/>
      <c r="T9" s="2"/>
      <c r="U9" s="4" t="s">
        <v>1</v>
      </c>
      <c r="V9" s="4" t="s">
        <v>25</v>
      </c>
      <c r="W9" s="4" t="s">
        <v>4</v>
      </c>
      <c r="X9" s="5">
        <v>0</v>
      </c>
      <c r="Y9" s="5">
        <v>0</v>
      </c>
      <c r="AA9" s="7"/>
      <c r="AB9" s="10" t="s">
        <v>1</v>
      </c>
      <c r="AC9" s="10" t="s">
        <v>25</v>
      </c>
      <c r="AD9" s="11">
        <v>1436399.219514932</v>
      </c>
      <c r="AE9" s="11">
        <v>0</v>
      </c>
      <c r="AF9" s="7">
        <f t="shared" si="0"/>
        <v>-1436399.219514932</v>
      </c>
      <c r="AG9" s="14"/>
      <c r="AH9" s="13">
        <f>AF9/AD9</f>
        <v>-1</v>
      </c>
      <c r="AI9" s="7"/>
      <c r="AJ9" s="7"/>
      <c r="AK9" s="3"/>
    </row>
    <row r="10" spans="2:37" ht="15.6" x14ac:dyDescent="0.3">
      <c r="B10" t="s">
        <v>1</v>
      </c>
      <c r="C10" t="s">
        <v>0</v>
      </c>
      <c r="D10" t="s">
        <v>4</v>
      </c>
      <c r="E10">
        <v>2799999.9999999991</v>
      </c>
      <c r="G10" t="s">
        <v>1</v>
      </c>
      <c r="H10" t="s">
        <v>0</v>
      </c>
      <c r="I10" t="s">
        <v>4</v>
      </c>
      <c r="J10">
        <v>2800000</v>
      </c>
      <c r="L10" s="3"/>
      <c r="M10" s="3"/>
      <c r="N10" s="10" t="s">
        <v>2</v>
      </c>
      <c r="O10" s="10" t="s">
        <v>0</v>
      </c>
      <c r="P10" s="10" t="s">
        <v>4</v>
      </c>
      <c r="Q10" s="11">
        <v>0</v>
      </c>
      <c r="R10" s="11">
        <v>0</v>
      </c>
      <c r="S10" s="5"/>
      <c r="T10" s="2"/>
      <c r="U10" s="4" t="s">
        <v>2</v>
      </c>
      <c r="V10" s="4" t="s">
        <v>0</v>
      </c>
      <c r="W10" s="4" t="s">
        <v>4</v>
      </c>
      <c r="X10" s="5">
        <v>0</v>
      </c>
      <c r="Y10" s="5">
        <v>0</v>
      </c>
      <c r="AA10" s="7"/>
      <c r="AB10" s="10" t="s">
        <v>2</v>
      </c>
      <c r="AC10" s="10" t="s">
        <v>0</v>
      </c>
      <c r="AD10" s="11">
        <v>0</v>
      </c>
      <c r="AE10" s="11">
        <v>0</v>
      </c>
      <c r="AF10" s="7">
        <f t="shared" si="0"/>
        <v>0</v>
      </c>
      <c r="AG10" s="14"/>
      <c r="AH10" s="13"/>
      <c r="AI10" s="7"/>
      <c r="AJ10" s="7"/>
      <c r="AK10" s="3"/>
    </row>
    <row r="11" spans="2:37" ht="15.6" x14ac:dyDescent="0.3">
      <c r="B11" s="1" t="s">
        <v>1</v>
      </c>
      <c r="C11" s="1" t="s">
        <v>0</v>
      </c>
      <c r="D11" s="1" t="s">
        <v>5</v>
      </c>
      <c r="E11" s="1">
        <v>0</v>
      </c>
      <c r="F11" s="1"/>
      <c r="G11" s="1" t="s">
        <v>1</v>
      </c>
      <c r="H11" s="1" t="s">
        <v>0</v>
      </c>
      <c r="I11" s="1" t="s">
        <v>5</v>
      </c>
      <c r="J11" s="1">
        <v>206134.89867233901</v>
      </c>
      <c r="L11" s="3"/>
      <c r="M11" s="3"/>
      <c r="N11" s="10" t="s">
        <v>2</v>
      </c>
      <c r="O11" s="10" t="s">
        <v>1</v>
      </c>
      <c r="P11" s="10" t="s">
        <v>4</v>
      </c>
      <c r="Q11" s="11">
        <v>2800000.0000000009</v>
      </c>
      <c r="R11" s="11">
        <v>2800000.0000000019</v>
      </c>
      <c r="S11" s="5"/>
      <c r="T11" s="2"/>
      <c r="U11" s="4" t="s">
        <v>2</v>
      </c>
      <c r="V11" s="4" t="s">
        <v>1</v>
      </c>
      <c r="W11" s="4" t="s">
        <v>4</v>
      </c>
      <c r="X11" s="5">
        <v>2800000.0000000009</v>
      </c>
      <c r="Y11" s="5">
        <v>2800000.0000000019</v>
      </c>
      <c r="AA11" s="7"/>
      <c r="AB11" s="10" t="s">
        <v>2</v>
      </c>
      <c r="AC11" s="10" t="s">
        <v>1</v>
      </c>
      <c r="AD11" s="11">
        <v>230413.08378659369</v>
      </c>
      <c r="AE11" s="11">
        <v>0</v>
      </c>
      <c r="AF11" s="7">
        <f t="shared" si="0"/>
        <v>-230413.08378659369</v>
      </c>
      <c r="AG11" s="14"/>
      <c r="AH11" s="13">
        <f>AF11/AD11</f>
        <v>-1</v>
      </c>
      <c r="AI11" s="7"/>
      <c r="AJ11" s="7"/>
      <c r="AK11" s="3"/>
    </row>
    <row r="12" spans="2:37" ht="15.6" x14ac:dyDescent="0.3">
      <c r="B12" t="s">
        <v>1</v>
      </c>
      <c r="C12" t="s">
        <v>2</v>
      </c>
      <c r="D12" t="s">
        <v>4</v>
      </c>
      <c r="E12">
        <v>0</v>
      </c>
      <c r="G12" t="s">
        <v>1</v>
      </c>
      <c r="H12" t="s">
        <v>2</v>
      </c>
      <c r="I12" t="s">
        <v>4</v>
      </c>
      <c r="J12">
        <v>0</v>
      </c>
      <c r="L12" s="3"/>
      <c r="M12" s="3"/>
      <c r="N12" s="10" t="s">
        <v>2</v>
      </c>
      <c r="O12" s="10" t="s">
        <v>25</v>
      </c>
      <c r="P12" s="10" t="s">
        <v>4</v>
      </c>
      <c r="Q12" s="11">
        <v>0</v>
      </c>
      <c r="R12" s="11">
        <v>0</v>
      </c>
      <c r="S12" s="5"/>
      <c r="T12" s="2"/>
      <c r="U12" s="4" t="s">
        <v>2</v>
      </c>
      <c r="V12" s="4" t="s">
        <v>25</v>
      </c>
      <c r="W12" s="4" t="s">
        <v>4</v>
      </c>
      <c r="X12" s="5">
        <v>0</v>
      </c>
      <c r="Y12" s="5">
        <v>0</v>
      </c>
      <c r="AA12" s="7"/>
      <c r="AB12" s="10" t="s">
        <v>2</v>
      </c>
      <c r="AC12" s="10" t="s">
        <v>25</v>
      </c>
      <c r="AD12" s="11">
        <v>1166593.8483492341</v>
      </c>
      <c r="AE12" s="11">
        <v>1469912.4868943349</v>
      </c>
      <c r="AF12" s="7">
        <f t="shared" si="0"/>
        <v>303318.63854510081</v>
      </c>
      <c r="AG12" s="14"/>
      <c r="AH12" s="13">
        <f>AF12/AD12</f>
        <v>0.26000363277614225</v>
      </c>
      <c r="AI12" s="7"/>
      <c r="AJ12" s="7"/>
      <c r="AK12" s="3"/>
    </row>
    <row r="13" spans="2:37" ht="15.6" x14ac:dyDescent="0.3">
      <c r="B13" s="1" t="s">
        <v>1</v>
      </c>
      <c r="C13" s="1" t="s">
        <v>2</v>
      </c>
      <c r="D13" s="1" t="s">
        <v>5</v>
      </c>
      <c r="E13" s="1">
        <v>0</v>
      </c>
      <c r="F13" s="1"/>
      <c r="G13" s="1" t="s">
        <v>1</v>
      </c>
      <c r="H13" s="1" t="s">
        <v>2</v>
      </c>
      <c r="I13" s="1" t="s">
        <v>5</v>
      </c>
      <c r="J13" s="1">
        <v>67901.614498978597</v>
      </c>
      <c r="L13" s="3"/>
      <c r="M13" s="3"/>
      <c r="N13" s="10" t="s">
        <v>25</v>
      </c>
      <c r="O13" s="10" t="s">
        <v>0</v>
      </c>
      <c r="P13" s="10" t="s">
        <v>4</v>
      </c>
      <c r="Q13" s="11">
        <v>0</v>
      </c>
      <c r="R13" s="11">
        <v>0</v>
      </c>
      <c r="S13" s="5"/>
      <c r="T13" s="2"/>
      <c r="U13" s="4" t="s">
        <v>3</v>
      </c>
      <c r="V13" s="4" t="s">
        <v>0</v>
      </c>
      <c r="W13" s="4" t="s">
        <v>4</v>
      </c>
      <c r="X13" s="5">
        <v>0</v>
      </c>
      <c r="Y13" s="5">
        <v>0</v>
      </c>
      <c r="AA13" s="7"/>
      <c r="AB13" s="10" t="s">
        <v>25</v>
      </c>
      <c r="AC13" s="10" t="s">
        <v>0</v>
      </c>
      <c r="AD13" s="11">
        <v>0</v>
      </c>
      <c r="AE13" s="11">
        <v>0</v>
      </c>
      <c r="AF13" s="7">
        <f t="shared" si="0"/>
        <v>0</v>
      </c>
      <c r="AG13" s="14"/>
      <c r="AH13" s="13"/>
      <c r="AI13" s="7"/>
      <c r="AJ13" s="7"/>
      <c r="AK13" s="3"/>
    </row>
    <row r="14" spans="2:37" ht="15.6" x14ac:dyDescent="0.3">
      <c r="B14" t="s">
        <v>1</v>
      </c>
      <c r="C14" t="s">
        <v>3</v>
      </c>
      <c r="D14" t="s">
        <v>4</v>
      </c>
      <c r="E14">
        <v>0</v>
      </c>
      <c r="G14" t="s">
        <v>1</v>
      </c>
      <c r="H14" t="s">
        <v>3</v>
      </c>
      <c r="I14" t="s">
        <v>4</v>
      </c>
      <c r="J14">
        <v>0</v>
      </c>
      <c r="L14" s="3"/>
      <c r="M14" s="3"/>
      <c r="N14" s="10" t="s">
        <v>25</v>
      </c>
      <c r="O14" s="10" t="s">
        <v>1</v>
      </c>
      <c r="P14" s="10" t="s">
        <v>4</v>
      </c>
      <c r="Q14" s="11">
        <v>4500000</v>
      </c>
      <c r="R14" s="11">
        <v>4499999.9999999991</v>
      </c>
      <c r="S14" s="5"/>
      <c r="T14" s="2"/>
      <c r="U14" s="4" t="s">
        <v>3</v>
      </c>
      <c r="V14" s="4" t="s">
        <v>1</v>
      </c>
      <c r="W14" s="4" t="s">
        <v>4</v>
      </c>
      <c r="X14" s="5">
        <v>4500000</v>
      </c>
      <c r="Y14" s="5">
        <v>4499999.9999999991</v>
      </c>
      <c r="AA14" s="7"/>
      <c r="AB14" s="10" t="s">
        <v>25</v>
      </c>
      <c r="AC14" s="10" t="s">
        <v>1</v>
      </c>
      <c r="AD14" s="11">
        <v>0</v>
      </c>
      <c r="AE14" s="11">
        <v>0</v>
      </c>
      <c r="AF14" s="7">
        <f t="shared" si="0"/>
        <v>0</v>
      </c>
      <c r="AG14" s="14"/>
      <c r="AH14" s="13"/>
      <c r="AI14" s="7"/>
      <c r="AJ14" s="7"/>
      <c r="AK14" s="3"/>
    </row>
    <row r="15" spans="2:37" ht="15.6" x14ac:dyDescent="0.3">
      <c r="B15" s="1" t="s">
        <v>1</v>
      </c>
      <c r="C15" s="1" t="s">
        <v>3</v>
      </c>
      <c r="D15" s="1" t="s">
        <v>5</v>
      </c>
      <c r="E15" s="1">
        <v>1436399.219514932</v>
      </c>
      <c r="F15" s="1"/>
      <c r="G15" s="1" t="s">
        <v>1</v>
      </c>
      <c r="H15" s="1" t="s">
        <v>3</v>
      </c>
      <c r="I15" s="1" t="s">
        <v>5</v>
      </c>
      <c r="J15" s="1">
        <v>0</v>
      </c>
      <c r="L15" s="3"/>
      <c r="M15" s="3"/>
      <c r="N15" s="10" t="s">
        <v>25</v>
      </c>
      <c r="O15" s="10" t="s">
        <v>2</v>
      </c>
      <c r="P15" s="10" t="s">
        <v>4</v>
      </c>
      <c r="Q15" s="11">
        <v>0</v>
      </c>
      <c r="R15" s="11">
        <v>0</v>
      </c>
      <c r="S15" s="5"/>
      <c r="T15" s="2"/>
      <c r="U15" s="4" t="s">
        <v>3</v>
      </c>
      <c r="V15" s="4" t="s">
        <v>2</v>
      </c>
      <c r="W15" s="4" t="s">
        <v>4</v>
      </c>
      <c r="X15" s="5">
        <v>0</v>
      </c>
      <c r="Y15" s="5">
        <v>0</v>
      </c>
      <c r="AA15" s="7"/>
      <c r="AB15" s="10" t="s">
        <v>25</v>
      </c>
      <c r="AC15" s="10" t="s">
        <v>2</v>
      </c>
      <c r="AD15" s="11">
        <v>0</v>
      </c>
      <c r="AE15" s="11">
        <v>0</v>
      </c>
      <c r="AF15" s="7">
        <f t="shared" si="0"/>
        <v>0</v>
      </c>
      <c r="AG15" s="14"/>
      <c r="AH15" s="13"/>
      <c r="AI15" s="7"/>
      <c r="AJ15" s="7"/>
      <c r="AK15" s="3"/>
    </row>
    <row r="16" spans="2:37" ht="15.6" x14ac:dyDescent="0.3">
      <c r="B16" t="s">
        <v>2</v>
      </c>
      <c r="C16" t="s">
        <v>0</v>
      </c>
      <c r="D16" t="s">
        <v>4</v>
      </c>
      <c r="E16">
        <v>0</v>
      </c>
      <c r="G16" t="s">
        <v>2</v>
      </c>
      <c r="H16" t="s">
        <v>0</v>
      </c>
      <c r="I16" t="s">
        <v>4</v>
      </c>
      <c r="J16">
        <v>0</v>
      </c>
      <c r="L16" s="3"/>
      <c r="M16" s="3"/>
      <c r="N16" s="10" t="s">
        <v>0</v>
      </c>
      <c r="O16" s="10" t="s">
        <v>1</v>
      </c>
      <c r="P16" s="10" t="s">
        <v>5</v>
      </c>
      <c r="Q16" s="11">
        <v>505986.13572834042</v>
      </c>
      <c r="R16" s="11">
        <v>0</v>
      </c>
      <c r="S16" s="5"/>
      <c r="U16" s="4" t="s">
        <v>0</v>
      </c>
      <c r="V16" s="4" t="s">
        <v>1</v>
      </c>
      <c r="W16" s="4" t="s">
        <v>5</v>
      </c>
      <c r="X16" s="5">
        <v>505986.13572834042</v>
      </c>
      <c r="Y16" s="5">
        <v>0</v>
      </c>
      <c r="AA16" s="7"/>
      <c r="AB16" s="7"/>
      <c r="AC16" s="7"/>
      <c r="AD16" s="7"/>
      <c r="AE16" s="7"/>
      <c r="AF16" s="7"/>
      <c r="AG16" s="14"/>
      <c r="AH16" s="7"/>
      <c r="AI16" s="7"/>
      <c r="AJ16" s="7"/>
      <c r="AK16" s="3"/>
    </row>
    <row r="17" spans="2:37" ht="15.6" x14ac:dyDescent="0.3">
      <c r="B17" t="s">
        <v>2</v>
      </c>
      <c r="C17" t="s">
        <v>0</v>
      </c>
      <c r="D17" t="s">
        <v>5</v>
      </c>
      <c r="E17">
        <v>0</v>
      </c>
      <c r="G17" t="s">
        <v>2</v>
      </c>
      <c r="H17" t="s">
        <v>0</v>
      </c>
      <c r="I17" t="s">
        <v>5</v>
      </c>
      <c r="J17">
        <v>0</v>
      </c>
      <c r="L17" s="3"/>
      <c r="M17" s="3"/>
      <c r="N17" s="10" t="s">
        <v>0</v>
      </c>
      <c r="O17" s="10" t="s">
        <v>2</v>
      </c>
      <c r="P17" s="10" t="s">
        <v>5</v>
      </c>
      <c r="Q17" s="11">
        <v>597006.93213582539</v>
      </c>
      <c r="R17" s="11">
        <v>509937.07966996293</v>
      </c>
      <c r="S17" s="5"/>
      <c r="U17" s="4" t="s">
        <v>0</v>
      </c>
      <c r="V17" s="4" t="s">
        <v>2</v>
      </c>
      <c r="W17" s="4" t="s">
        <v>5</v>
      </c>
      <c r="X17" s="5">
        <v>597006.93213582539</v>
      </c>
      <c r="Y17" s="5">
        <v>509937.07966996293</v>
      </c>
      <c r="AA17" s="7"/>
      <c r="AB17" s="7"/>
      <c r="AC17" s="7"/>
      <c r="AD17" s="7"/>
      <c r="AE17" s="7"/>
      <c r="AF17" s="7"/>
      <c r="AG17" s="14"/>
      <c r="AH17" s="7"/>
      <c r="AI17" s="7"/>
      <c r="AJ17" s="7"/>
      <c r="AK17" s="3"/>
    </row>
    <row r="18" spans="2:37" ht="15.6" x14ac:dyDescent="0.3">
      <c r="B18" t="s">
        <v>2</v>
      </c>
      <c r="C18" t="s">
        <v>1</v>
      </c>
      <c r="D18" t="s">
        <v>4</v>
      </c>
      <c r="E18">
        <v>2800000.0000000009</v>
      </c>
      <c r="G18" t="s">
        <v>2</v>
      </c>
      <c r="H18" t="s">
        <v>1</v>
      </c>
      <c r="I18" t="s">
        <v>4</v>
      </c>
      <c r="J18">
        <v>2800000.0000000019</v>
      </c>
      <c r="L18" s="3"/>
      <c r="M18" s="3"/>
      <c r="N18" s="10" t="s">
        <v>0</v>
      </c>
      <c r="O18" s="10" t="s">
        <v>25</v>
      </c>
      <c r="P18" s="10" t="s">
        <v>5</v>
      </c>
      <c r="Q18" s="11">
        <v>597006.93213583413</v>
      </c>
      <c r="R18" s="11">
        <v>1469912.4868943091</v>
      </c>
      <c r="S18" s="5"/>
      <c r="U18" s="4" t="s">
        <v>0</v>
      </c>
      <c r="V18" s="4" t="s">
        <v>25</v>
      </c>
      <c r="W18" s="4" t="s">
        <v>5</v>
      </c>
      <c r="X18" s="5">
        <v>597006.93213583413</v>
      </c>
      <c r="Y18" s="5">
        <v>1469912.4868943091</v>
      </c>
      <c r="AB18" s="3"/>
      <c r="AC18" s="3"/>
      <c r="AD18" s="3"/>
      <c r="AE18" s="3"/>
      <c r="AF18" s="3"/>
      <c r="AG18" s="15"/>
      <c r="AH18" s="3"/>
      <c r="AI18" s="3"/>
      <c r="AJ18" s="3"/>
      <c r="AK18" s="3"/>
    </row>
    <row r="19" spans="2:37" ht="15.6" x14ac:dyDescent="0.3">
      <c r="B19" s="1" t="s">
        <v>2</v>
      </c>
      <c r="C19" s="1" t="s">
        <v>1</v>
      </c>
      <c r="D19" s="1" t="s">
        <v>5</v>
      </c>
      <c r="E19" s="1">
        <v>230413.08378659369</v>
      </c>
      <c r="F19" s="1"/>
      <c r="G19" s="1" t="s">
        <v>2</v>
      </c>
      <c r="H19" s="1" t="s">
        <v>1</v>
      </c>
      <c r="I19" s="1" t="s">
        <v>5</v>
      </c>
      <c r="J19" s="1">
        <v>0</v>
      </c>
      <c r="L19" s="3"/>
      <c r="M19" s="3"/>
      <c r="N19" s="10" t="s">
        <v>1</v>
      </c>
      <c r="O19" s="10" t="s">
        <v>0</v>
      </c>
      <c r="P19" s="10" t="s">
        <v>5</v>
      </c>
      <c r="Q19" s="11">
        <v>0</v>
      </c>
      <c r="R19" s="11">
        <v>206134.89867233901</v>
      </c>
      <c r="S19" s="5"/>
      <c r="U19" s="4" t="s">
        <v>1</v>
      </c>
      <c r="V19" s="4" t="s">
        <v>0</v>
      </c>
      <c r="W19" s="4" t="s">
        <v>5</v>
      </c>
      <c r="X19" s="5">
        <v>0</v>
      </c>
      <c r="Y19" s="5">
        <v>206134.89867233901</v>
      </c>
      <c r="AB19" s="3"/>
      <c r="AC19" s="3"/>
      <c r="AD19" s="3"/>
      <c r="AE19" s="3"/>
      <c r="AF19" s="3"/>
      <c r="AG19" s="15"/>
      <c r="AH19" s="3"/>
      <c r="AI19" s="3"/>
      <c r="AJ19" s="3"/>
      <c r="AK19" s="3"/>
    </row>
    <row r="20" spans="2:37" ht="15.6" x14ac:dyDescent="0.3">
      <c r="B20" t="s">
        <v>2</v>
      </c>
      <c r="C20" t="s">
        <v>3</v>
      </c>
      <c r="D20" t="s">
        <v>4</v>
      </c>
      <c r="E20">
        <v>0</v>
      </c>
      <c r="G20" t="s">
        <v>2</v>
      </c>
      <c r="H20" t="s">
        <v>3</v>
      </c>
      <c r="I20" t="s">
        <v>4</v>
      </c>
      <c r="J20">
        <v>0</v>
      </c>
      <c r="L20" s="3"/>
      <c r="M20" s="3"/>
      <c r="N20" s="10" t="s">
        <v>1</v>
      </c>
      <c r="O20" s="10" t="s">
        <v>2</v>
      </c>
      <c r="P20" s="10" t="s">
        <v>5</v>
      </c>
      <c r="Q20" s="11">
        <v>0</v>
      </c>
      <c r="R20" s="11">
        <v>67901.614498978597</v>
      </c>
      <c r="S20" s="5"/>
      <c r="U20" s="4" t="s">
        <v>1</v>
      </c>
      <c r="V20" s="4" t="s">
        <v>2</v>
      </c>
      <c r="W20" s="4" t="s">
        <v>5</v>
      </c>
      <c r="X20" s="5">
        <v>0</v>
      </c>
      <c r="Y20" s="5">
        <v>67901.614498978597</v>
      </c>
      <c r="AB20" s="3"/>
      <c r="AC20" s="3"/>
      <c r="AD20" s="3"/>
      <c r="AE20" s="3"/>
      <c r="AF20" s="3"/>
      <c r="AG20" s="15"/>
      <c r="AH20" s="3"/>
      <c r="AI20" s="3"/>
      <c r="AJ20" s="3"/>
      <c r="AK20" s="3"/>
    </row>
    <row r="21" spans="2:37" ht="15.6" x14ac:dyDescent="0.3">
      <c r="B21" s="1" t="s">
        <v>2</v>
      </c>
      <c r="C21" s="1" t="s">
        <v>3</v>
      </c>
      <c r="D21" s="1" t="s">
        <v>5</v>
      </c>
      <c r="E21" s="1">
        <v>1166593.8483492341</v>
      </c>
      <c r="F21" s="1"/>
      <c r="G21" s="1" t="s">
        <v>2</v>
      </c>
      <c r="H21" s="1" t="s">
        <v>3</v>
      </c>
      <c r="I21" s="1" t="s">
        <v>5</v>
      </c>
      <c r="J21" s="1">
        <v>1469912.4868943349</v>
      </c>
      <c r="L21" s="3"/>
      <c r="M21" s="3"/>
      <c r="N21" s="10" t="s">
        <v>1</v>
      </c>
      <c r="O21" s="10" t="s">
        <v>25</v>
      </c>
      <c r="P21" s="10" t="s">
        <v>5</v>
      </c>
      <c r="Q21" s="11">
        <v>1436399.219514932</v>
      </c>
      <c r="R21" s="11">
        <v>0</v>
      </c>
      <c r="S21" s="5"/>
      <c r="U21" s="4" t="s">
        <v>1</v>
      </c>
      <c r="V21" s="4" t="s">
        <v>25</v>
      </c>
      <c r="W21" s="4" t="s">
        <v>5</v>
      </c>
      <c r="X21" s="5">
        <v>1436399.219514932</v>
      </c>
      <c r="Y21" s="5">
        <v>0</v>
      </c>
    </row>
    <row r="22" spans="2:37" ht="15.6" x14ac:dyDescent="0.3">
      <c r="B22" t="s">
        <v>3</v>
      </c>
      <c r="C22" t="s">
        <v>0</v>
      </c>
      <c r="D22" t="s">
        <v>4</v>
      </c>
      <c r="E22">
        <v>0</v>
      </c>
      <c r="G22" t="s">
        <v>3</v>
      </c>
      <c r="H22" t="s">
        <v>0</v>
      </c>
      <c r="I22" t="s">
        <v>4</v>
      </c>
      <c r="J22">
        <v>0</v>
      </c>
      <c r="L22" s="3"/>
      <c r="M22" s="3"/>
      <c r="N22" s="10" t="s">
        <v>2</v>
      </c>
      <c r="O22" s="10" t="s">
        <v>0</v>
      </c>
      <c r="P22" s="10" t="s">
        <v>5</v>
      </c>
      <c r="Q22" s="11">
        <v>0</v>
      </c>
      <c r="R22" s="11">
        <v>0</v>
      </c>
      <c r="S22" s="5"/>
      <c r="U22" s="4" t="s">
        <v>2</v>
      </c>
      <c r="V22" s="4" t="s">
        <v>0</v>
      </c>
      <c r="W22" s="4" t="s">
        <v>5</v>
      </c>
      <c r="X22" s="5">
        <v>0</v>
      </c>
      <c r="Y22" s="5">
        <v>0</v>
      </c>
    </row>
    <row r="23" spans="2:37" ht="15.6" x14ac:dyDescent="0.3">
      <c r="B23" t="s">
        <v>3</v>
      </c>
      <c r="C23" t="s">
        <v>0</v>
      </c>
      <c r="D23" t="s">
        <v>5</v>
      </c>
      <c r="E23">
        <v>0</v>
      </c>
      <c r="G23" t="s">
        <v>3</v>
      </c>
      <c r="H23" t="s">
        <v>0</v>
      </c>
      <c r="I23" t="s">
        <v>5</v>
      </c>
      <c r="J23">
        <v>0</v>
      </c>
      <c r="L23" s="3"/>
      <c r="M23" s="3"/>
      <c r="N23" s="10" t="s">
        <v>2</v>
      </c>
      <c r="O23" s="10" t="s">
        <v>1</v>
      </c>
      <c r="P23" s="10" t="s">
        <v>5</v>
      </c>
      <c r="Q23" s="11">
        <v>230413.08378659369</v>
      </c>
      <c r="R23" s="11">
        <v>0</v>
      </c>
      <c r="S23" s="5"/>
      <c r="U23" s="4" t="s">
        <v>2</v>
      </c>
      <c r="V23" s="4" t="s">
        <v>1</v>
      </c>
      <c r="W23" s="4" t="s">
        <v>5</v>
      </c>
      <c r="X23" s="5">
        <v>230413.08378659369</v>
      </c>
      <c r="Y23" s="5">
        <v>0</v>
      </c>
    </row>
    <row r="24" spans="2:37" ht="15.6" x14ac:dyDescent="0.3">
      <c r="B24" t="s">
        <v>3</v>
      </c>
      <c r="C24" t="s">
        <v>1</v>
      </c>
      <c r="D24" t="s">
        <v>4</v>
      </c>
      <c r="E24">
        <v>4500000</v>
      </c>
      <c r="G24" t="s">
        <v>3</v>
      </c>
      <c r="H24" t="s">
        <v>1</v>
      </c>
      <c r="I24" t="s">
        <v>4</v>
      </c>
      <c r="J24">
        <v>4499999.9999999991</v>
      </c>
      <c r="L24" s="3"/>
      <c r="M24" s="3"/>
      <c r="N24" s="10" t="s">
        <v>2</v>
      </c>
      <c r="O24" s="10" t="s">
        <v>25</v>
      </c>
      <c r="P24" s="10" t="s">
        <v>5</v>
      </c>
      <c r="Q24" s="11">
        <v>1166593.8483492341</v>
      </c>
      <c r="R24" s="11">
        <v>1469912.4868943349</v>
      </c>
      <c r="S24" s="5"/>
      <c r="U24" s="4" t="s">
        <v>2</v>
      </c>
      <c r="V24" s="4" t="s">
        <v>25</v>
      </c>
      <c r="W24" s="4" t="s">
        <v>5</v>
      </c>
      <c r="X24" s="5">
        <v>1166593.8483492341</v>
      </c>
      <c r="Y24" s="5">
        <v>1469912.4868943349</v>
      </c>
    </row>
    <row r="25" spans="2:37" ht="15.6" x14ac:dyDescent="0.3">
      <c r="B25" t="s">
        <v>3</v>
      </c>
      <c r="C25" t="s">
        <v>1</v>
      </c>
      <c r="D25" t="s">
        <v>5</v>
      </c>
      <c r="E25">
        <v>0</v>
      </c>
      <c r="G25" t="s">
        <v>3</v>
      </c>
      <c r="H25" t="s">
        <v>1</v>
      </c>
      <c r="I25" t="s">
        <v>5</v>
      </c>
      <c r="J25">
        <v>0</v>
      </c>
      <c r="L25" s="3"/>
      <c r="M25" s="3"/>
      <c r="N25" s="10" t="s">
        <v>25</v>
      </c>
      <c r="O25" s="10" t="s">
        <v>0</v>
      </c>
      <c r="P25" s="10" t="s">
        <v>5</v>
      </c>
      <c r="Q25" s="11">
        <v>0</v>
      </c>
      <c r="R25" s="11">
        <v>0</v>
      </c>
      <c r="S25" s="5"/>
      <c r="U25" s="4" t="s">
        <v>3</v>
      </c>
      <c r="V25" s="4" t="s">
        <v>0</v>
      </c>
      <c r="W25" s="4" t="s">
        <v>5</v>
      </c>
      <c r="X25" s="5">
        <v>0</v>
      </c>
      <c r="Y25" s="5">
        <v>0</v>
      </c>
    </row>
    <row r="26" spans="2:37" ht="15.6" x14ac:dyDescent="0.3">
      <c r="B26" t="s">
        <v>3</v>
      </c>
      <c r="C26" t="s">
        <v>2</v>
      </c>
      <c r="D26" t="s">
        <v>4</v>
      </c>
      <c r="E26">
        <v>0</v>
      </c>
      <c r="G26" t="s">
        <v>3</v>
      </c>
      <c r="H26" t="s">
        <v>2</v>
      </c>
      <c r="I26" t="s">
        <v>4</v>
      </c>
      <c r="J26">
        <v>0</v>
      </c>
      <c r="L26" s="3"/>
      <c r="M26" s="3"/>
      <c r="N26" s="10" t="s">
        <v>25</v>
      </c>
      <c r="O26" s="10" t="s">
        <v>1</v>
      </c>
      <c r="P26" s="10" t="s">
        <v>5</v>
      </c>
      <c r="Q26" s="11">
        <v>0</v>
      </c>
      <c r="R26" s="11">
        <v>0</v>
      </c>
      <c r="S26" s="5"/>
      <c r="U26" s="4" t="s">
        <v>3</v>
      </c>
      <c r="V26" s="4" t="s">
        <v>1</v>
      </c>
      <c r="W26" s="4" t="s">
        <v>5</v>
      </c>
      <c r="X26" s="5">
        <v>0</v>
      </c>
      <c r="Y26" s="5">
        <v>0</v>
      </c>
    </row>
    <row r="27" spans="2:37" ht="15.6" x14ac:dyDescent="0.3">
      <c r="B27" t="s">
        <v>3</v>
      </c>
      <c r="C27" t="s">
        <v>2</v>
      </c>
      <c r="D27" t="s">
        <v>5</v>
      </c>
      <c r="E27">
        <v>0</v>
      </c>
      <c r="G27" t="s">
        <v>3</v>
      </c>
      <c r="H27" t="s">
        <v>2</v>
      </c>
      <c r="I27" t="s">
        <v>5</v>
      </c>
      <c r="J27">
        <v>0</v>
      </c>
      <c r="L27" s="3"/>
      <c r="M27" s="3"/>
      <c r="N27" s="10" t="s">
        <v>25</v>
      </c>
      <c r="O27" s="10" t="s">
        <v>2</v>
      </c>
      <c r="P27" s="10" t="s">
        <v>5</v>
      </c>
      <c r="Q27" s="11">
        <v>0</v>
      </c>
      <c r="R27" s="11">
        <v>0</v>
      </c>
      <c r="S27" s="5"/>
      <c r="U27" s="4" t="s">
        <v>3</v>
      </c>
      <c r="V27" s="4" t="s">
        <v>2</v>
      </c>
      <c r="W27" s="4" t="s">
        <v>5</v>
      </c>
      <c r="X27" s="5">
        <v>0</v>
      </c>
      <c r="Y27" s="5">
        <v>0</v>
      </c>
    </row>
    <row r="28" spans="2:37" x14ac:dyDescent="0.3">
      <c r="L28" s="3"/>
      <c r="M28" s="3"/>
      <c r="N28" s="3"/>
      <c r="O28" s="3"/>
      <c r="P28" s="3"/>
      <c r="Q28" s="3"/>
      <c r="R28" s="3"/>
      <c r="S28" s="3"/>
    </row>
    <row r="29" spans="2:37" x14ac:dyDescent="0.3">
      <c r="L29" s="3"/>
      <c r="M29" s="3"/>
      <c r="N29" s="3"/>
      <c r="O29" s="3"/>
      <c r="P29" s="3"/>
      <c r="Q29" s="3"/>
      <c r="R29" s="3"/>
      <c r="S29" s="3"/>
    </row>
  </sheetData>
  <mergeCells count="2">
    <mergeCell ref="N2:R2"/>
    <mergeCell ref="AB2:A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5500</v>
      </c>
    </row>
    <row r="2" spans="1:3" x14ac:dyDescent="0.3">
      <c r="A2" t="s">
        <v>0</v>
      </c>
      <c r="B2" t="s">
        <v>5</v>
      </c>
      <c r="C2">
        <v>3100</v>
      </c>
    </row>
    <row r="3" spans="1:3" x14ac:dyDescent="0.3">
      <c r="A3" t="s">
        <v>1</v>
      </c>
      <c r="B3" t="s">
        <v>4</v>
      </c>
      <c r="C3">
        <v>3700</v>
      </c>
    </row>
    <row r="4" spans="1:3" x14ac:dyDescent="0.3">
      <c r="A4" t="s">
        <v>1</v>
      </c>
      <c r="B4" t="s">
        <v>5</v>
      </c>
      <c r="C4">
        <v>3300</v>
      </c>
    </row>
    <row r="5" spans="1:3" x14ac:dyDescent="0.3">
      <c r="A5" t="s">
        <v>2</v>
      </c>
      <c r="B5" t="s">
        <v>4</v>
      </c>
      <c r="C5">
        <v>3550</v>
      </c>
    </row>
    <row r="6" spans="1:3" x14ac:dyDescent="0.3">
      <c r="A6" t="s">
        <v>2</v>
      </c>
      <c r="B6" t="s">
        <v>5</v>
      </c>
      <c r="C6">
        <v>3100</v>
      </c>
    </row>
    <row r="7" spans="1:3" x14ac:dyDescent="0.3">
      <c r="A7" t="s">
        <v>3</v>
      </c>
      <c r="B7" t="s">
        <v>4</v>
      </c>
      <c r="C7">
        <v>3150</v>
      </c>
    </row>
    <row r="8" spans="1:3" x14ac:dyDescent="0.3">
      <c r="A8" t="s">
        <v>3</v>
      </c>
      <c r="B8" t="s">
        <v>5</v>
      </c>
      <c r="C8">
        <v>3500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700000</v>
      </c>
    </row>
    <row r="2" spans="1:3" x14ac:dyDescent="0.3">
      <c r="A2" t="s">
        <v>0</v>
      </c>
      <c r="B2" t="s">
        <v>5</v>
      </c>
      <c r="C2">
        <v>5000000</v>
      </c>
    </row>
    <row r="3" spans="1:3" x14ac:dyDescent="0.3">
      <c r="A3" t="s">
        <v>1</v>
      </c>
      <c r="B3" t="s">
        <v>4</v>
      </c>
      <c r="C3">
        <v>3000000</v>
      </c>
    </row>
    <row r="4" spans="1:3" x14ac:dyDescent="0.3">
      <c r="A4" t="s">
        <v>1</v>
      </c>
      <c r="B4" t="s">
        <v>5</v>
      </c>
      <c r="C4">
        <v>6900000</v>
      </c>
    </row>
    <row r="5" spans="1:3" x14ac:dyDescent="0.3">
      <c r="A5" t="s">
        <v>2</v>
      </c>
      <c r="B5" t="s">
        <v>4</v>
      </c>
      <c r="C5">
        <v>7300000</v>
      </c>
    </row>
    <row r="6" spans="1:3" x14ac:dyDescent="0.3">
      <c r="A6" t="s">
        <v>2</v>
      </c>
      <c r="B6" t="s">
        <v>5</v>
      </c>
      <c r="C6">
        <v>5300000</v>
      </c>
    </row>
    <row r="7" spans="1:3" x14ac:dyDescent="0.3">
      <c r="A7" t="s">
        <v>3</v>
      </c>
      <c r="B7" t="s">
        <v>4</v>
      </c>
      <c r="C7">
        <v>62000000</v>
      </c>
    </row>
    <row r="8" spans="1:3" x14ac:dyDescent="0.3">
      <c r="A8" t="s">
        <v>3</v>
      </c>
      <c r="B8" t="s">
        <v>5</v>
      </c>
      <c r="C8">
        <v>12800000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3500000</v>
      </c>
    </row>
    <row r="2" spans="1:3" x14ac:dyDescent="0.3">
      <c r="A2" t="s">
        <v>0</v>
      </c>
      <c r="B2" t="s">
        <v>5</v>
      </c>
      <c r="C2">
        <v>3300000</v>
      </c>
    </row>
    <row r="3" spans="1:3" x14ac:dyDescent="0.3">
      <c r="A3" t="s">
        <v>1</v>
      </c>
      <c r="B3" t="s">
        <v>4</v>
      </c>
      <c r="C3">
        <v>7500000</v>
      </c>
    </row>
    <row r="4" spans="1:3" x14ac:dyDescent="0.3">
      <c r="A4" t="s">
        <v>1</v>
      </c>
      <c r="B4" t="s">
        <v>5</v>
      </c>
      <c r="C4">
        <v>6200000</v>
      </c>
    </row>
    <row r="5" spans="1:3" x14ac:dyDescent="0.3">
      <c r="A5" t="s">
        <v>2</v>
      </c>
      <c r="B5" t="s">
        <v>4</v>
      </c>
      <c r="C5">
        <v>4500000</v>
      </c>
    </row>
    <row r="6" spans="1:3" x14ac:dyDescent="0.3">
      <c r="A6" t="s">
        <v>2</v>
      </c>
      <c r="B6" t="s">
        <v>5</v>
      </c>
      <c r="C6">
        <v>4500000</v>
      </c>
    </row>
    <row r="7" spans="1:3" x14ac:dyDescent="0.3">
      <c r="A7" t="s">
        <v>3</v>
      </c>
      <c r="B7" t="s">
        <v>4</v>
      </c>
      <c r="C7">
        <v>57500000</v>
      </c>
    </row>
    <row r="8" spans="1:3" x14ac:dyDescent="0.3">
      <c r="A8" t="s">
        <v>3</v>
      </c>
      <c r="B8" t="s">
        <v>5</v>
      </c>
      <c r="C8">
        <v>16000000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0.4</v>
      </c>
    </row>
    <row r="2" spans="1:3" x14ac:dyDescent="0.3">
      <c r="A2" t="s">
        <v>0</v>
      </c>
      <c r="B2" t="s">
        <v>5</v>
      </c>
      <c r="C2">
        <v>0.2</v>
      </c>
    </row>
    <row r="3" spans="1:3" x14ac:dyDescent="0.3">
      <c r="A3" t="s">
        <v>1</v>
      </c>
      <c r="B3" t="s">
        <v>4</v>
      </c>
      <c r="C3">
        <v>0.4</v>
      </c>
    </row>
    <row r="4" spans="1:3" x14ac:dyDescent="0.3">
      <c r="A4" t="s">
        <v>1</v>
      </c>
      <c r="B4" t="s">
        <v>5</v>
      </c>
      <c r="C4">
        <v>0.2</v>
      </c>
    </row>
    <row r="5" spans="1:3" x14ac:dyDescent="0.3">
      <c r="A5" t="s">
        <v>2</v>
      </c>
      <c r="B5" t="s">
        <v>4</v>
      </c>
      <c r="C5">
        <v>0.2</v>
      </c>
    </row>
    <row r="6" spans="1:3" x14ac:dyDescent="0.3">
      <c r="A6" t="s">
        <v>2</v>
      </c>
      <c r="B6" t="s">
        <v>5</v>
      </c>
      <c r="C6">
        <v>0.2</v>
      </c>
    </row>
    <row r="7" spans="1:3" x14ac:dyDescent="0.3">
      <c r="A7" t="s">
        <v>3</v>
      </c>
      <c r="B7" t="s">
        <v>4</v>
      </c>
      <c r="C7">
        <v>0.2</v>
      </c>
    </row>
    <row r="8" spans="1:3" x14ac:dyDescent="0.3">
      <c r="A8" t="s">
        <v>3</v>
      </c>
      <c r="B8" t="s">
        <v>5</v>
      </c>
      <c r="C8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-0.2</v>
      </c>
    </row>
    <row r="2" spans="1:3" x14ac:dyDescent="0.3">
      <c r="A2" t="s">
        <v>0</v>
      </c>
      <c r="B2" t="s">
        <v>5</v>
      </c>
      <c r="C2">
        <v>-0.5</v>
      </c>
    </row>
    <row r="3" spans="1:3" x14ac:dyDescent="0.3">
      <c r="A3" t="s">
        <v>1</v>
      </c>
      <c r="B3" t="s">
        <v>4</v>
      </c>
      <c r="C3">
        <v>-0.2</v>
      </c>
    </row>
    <row r="4" spans="1:3" x14ac:dyDescent="0.3">
      <c r="A4" t="s">
        <v>1</v>
      </c>
      <c r="B4" t="s">
        <v>5</v>
      </c>
      <c r="C4">
        <v>-0.5</v>
      </c>
    </row>
    <row r="5" spans="1:3" x14ac:dyDescent="0.3">
      <c r="A5" t="s">
        <v>2</v>
      </c>
      <c r="B5" t="s">
        <v>4</v>
      </c>
      <c r="C5">
        <v>-0.2</v>
      </c>
    </row>
    <row r="6" spans="1:3" x14ac:dyDescent="0.3">
      <c r="A6" t="s">
        <v>2</v>
      </c>
      <c r="B6" t="s">
        <v>5</v>
      </c>
      <c r="C6">
        <v>-0.5</v>
      </c>
    </row>
    <row r="7" spans="1:3" x14ac:dyDescent="0.3">
      <c r="A7" t="s">
        <v>3</v>
      </c>
      <c r="B7" t="s">
        <v>4</v>
      </c>
      <c r="C7">
        <v>-0.2</v>
      </c>
    </row>
    <row r="8" spans="1:3" x14ac:dyDescent="0.3">
      <c r="A8" t="s">
        <v>3</v>
      </c>
      <c r="B8" t="s">
        <v>5</v>
      </c>
      <c r="C8">
        <v>-0.5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33000</v>
      </c>
    </row>
    <row r="2" spans="1:3" x14ac:dyDescent="0.3">
      <c r="A2" t="s">
        <v>0</v>
      </c>
      <c r="B2" t="s">
        <v>5</v>
      </c>
      <c r="C2">
        <v>9300</v>
      </c>
    </row>
    <row r="3" spans="1:3" x14ac:dyDescent="0.3">
      <c r="A3" t="s">
        <v>1</v>
      </c>
      <c r="B3" t="s">
        <v>4</v>
      </c>
      <c r="C3">
        <v>22200</v>
      </c>
    </row>
    <row r="4" spans="1:3" x14ac:dyDescent="0.3">
      <c r="A4" t="s">
        <v>1</v>
      </c>
      <c r="B4" t="s">
        <v>5</v>
      </c>
      <c r="C4">
        <v>9900</v>
      </c>
    </row>
    <row r="5" spans="1:3" x14ac:dyDescent="0.3">
      <c r="A5" t="s">
        <v>2</v>
      </c>
      <c r="B5" t="s">
        <v>4</v>
      </c>
      <c r="C5">
        <v>21300</v>
      </c>
    </row>
    <row r="6" spans="1:3" x14ac:dyDescent="0.3">
      <c r="A6" t="s">
        <v>2</v>
      </c>
      <c r="B6" t="s">
        <v>5</v>
      </c>
      <c r="C6">
        <v>9300</v>
      </c>
    </row>
    <row r="7" spans="1:3" x14ac:dyDescent="0.3">
      <c r="A7" t="s">
        <v>3</v>
      </c>
      <c r="B7" t="s">
        <v>4</v>
      </c>
      <c r="C7">
        <v>18900</v>
      </c>
    </row>
    <row r="8" spans="1:3" x14ac:dyDescent="0.3">
      <c r="A8" t="s">
        <v>3</v>
      </c>
      <c r="B8" t="s">
        <v>5</v>
      </c>
      <c r="C8">
        <v>10500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-7.8571428571428577E-3</v>
      </c>
    </row>
    <row r="2" spans="1:3" x14ac:dyDescent="0.3">
      <c r="A2" t="s">
        <v>0</v>
      </c>
      <c r="B2" t="s">
        <v>5</v>
      </c>
      <c r="C2">
        <v>-1.8787878787878791E-3</v>
      </c>
    </row>
    <row r="3" spans="1:3" x14ac:dyDescent="0.3">
      <c r="A3" t="s">
        <v>1</v>
      </c>
      <c r="B3" t="s">
        <v>4</v>
      </c>
      <c r="C3">
        <v>-2.4666666666666661E-3</v>
      </c>
    </row>
    <row r="4" spans="1:3" x14ac:dyDescent="0.3">
      <c r="A4" t="s">
        <v>1</v>
      </c>
      <c r="B4" t="s">
        <v>5</v>
      </c>
      <c r="C4">
        <v>-1.0645161290322579E-3</v>
      </c>
    </row>
    <row r="5" spans="1:3" x14ac:dyDescent="0.3">
      <c r="A5" t="s">
        <v>2</v>
      </c>
      <c r="B5" t="s">
        <v>4</v>
      </c>
      <c r="C5">
        <v>-3.9444444444444449E-3</v>
      </c>
    </row>
    <row r="6" spans="1:3" x14ac:dyDescent="0.3">
      <c r="A6" t="s">
        <v>2</v>
      </c>
      <c r="B6" t="s">
        <v>5</v>
      </c>
      <c r="C6">
        <v>-1.3777777777777779E-3</v>
      </c>
    </row>
    <row r="7" spans="1:3" x14ac:dyDescent="0.3">
      <c r="A7" t="s">
        <v>3</v>
      </c>
      <c r="B7" t="s">
        <v>4</v>
      </c>
      <c r="C7">
        <v>-2.7391304347826079E-4</v>
      </c>
    </row>
    <row r="8" spans="1:3" x14ac:dyDescent="0.3">
      <c r="A8" t="s">
        <v>3</v>
      </c>
      <c r="B8" t="s">
        <v>5</v>
      </c>
      <c r="C8">
        <v>-4.3750000000000001E-4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-8250</v>
      </c>
    </row>
    <row r="2" spans="1:3" x14ac:dyDescent="0.3">
      <c r="A2" t="s">
        <v>0</v>
      </c>
      <c r="B2" t="s">
        <v>5</v>
      </c>
      <c r="C2">
        <v>-12400</v>
      </c>
    </row>
    <row r="3" spans="1:3" x14ac:dyDescent="0.3">
      <c r="A3" t="s">
        <v>1</v>
      </c>
      <c r="B3" t="s">
        <v>4</v>
      </c>
      <c r="C3">
        <v>-5550</v>
      </c>
    </row>
    <row r="4" spans="1:3" x14ac:dyDescent="0.3">
      <c r="A4" t="s">
        <v>1</v>
      </c>
      <c r="B4" t="s">
        <v>5</v>
      </c>
      <c r="C4">
        <v>-13200</v>
      </c>
    </row>
    <row r="5" spans="1:3" x14ac:dyDescent="0.3">
      <c r="A5" t="s">
        <v>2</v>
      </c>
      <c r="B5" t="s">
        <v>4</v>
      </c>
      <c r="C5">
        <v>-14200</v>
      </c>
    </row>
    <row r="6" spans="1:3" x14ac:dyDescent="0.3">
      <c r="A6" t="s">
        <v>2</v>
      </c>
      <c r="B6" t="s">
        <v>5</v>
      </c>
      <c r="C6">
        <v>-12400</v>
      </c>
    </row>
    <row r="7" spans="1:3" x14ac:dyDescent="0.3">
      <c r="A7" t="s">
        <v>3</v>
      </c>
      <c r="B7" t="s">
        <v>4</v>
      </c>
      <c r="C7">
        <v>-12600</v>
      </c>
    </row>
    <row r="8" spans="1:3" x14ac:dyDescent="0.3">
      <c r="A8" t="s">
        <v>3</v>
      </c>
      <c r="B8" t="s">
        <v>5</v>
      </c>
      <c r="C8">
        <v>-14000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1.9642857142857139E-2</v>
      </c>
    </row>
    <row r="2" spans="1:3" x14ac:dyDescent="0.3">
      <c r="A2" t="s">
        <v>0</v>
      </c>
      <c r="B2" t="s">
        <v>5</v>
      </c>
      <c r="C2">
        <v>3.0999999999999999E-3</v>
      </c>
    </row>
    <row r="3" spans="1:3" x14ac:dyDescent="0.3">
      <c r="A3" t="s">
        <v>1</v>
      </c>
      <c r="B3" t="s">
        <v>4</v>
      </c>
      <c r="C3">
        <v>3.0833333333333329E-3</v>
      </c>
    </row>
    <row r="4" spans="1:3" x14ac:dyDescent="0.3">
      <c r="A4" t="s">
        <v>1</v>
      </c>
      <c r="B4" t="s">
        <v>5</v>
      </c>
      <c r="C4">
        <v>2.3913043478260869E-3</v>
      </c>
    </row>
    <row r="5" spans="1:3" x14ac:dyDescent="0.3">
      <c r="A5" t="s">
        <v>2</v>
      </c>
      <c r="B5" t="s">
        <v>4</v>
      </c>
      <c r="C5">
        <v>2.4315068493150679E-3</v>
      </c>
    </row>
    <row r="6" spans="1:3" x14ac:dyDescent="0.3">
      <c r="A6" t="s">
        <v>2</v>
      </c>
      <c r="B6" t="s">
        <v>5</v>
      </c>
      <c r="C6">
        <v>2.9245283018867921E-3</v>
      </c>
    </row>
    <row r="7" spans="1:3" x14ac:dyDescent="0.3">
      <c r="A7" t="s">
        <v>3</v>
      </c>
      <c r="B7" t="s">
        <v>4</v>
      </c>
      <c r="C7">
        <v>2.5403225806451611E-4</v>
      </c>
    </row>
    <row r="8" spans="1:3" x14ac:dyDescent="0.3">
      <c r="A8" t="s">
        <v>3</v>
      </c>
      <c r="B8" t="s">
        <v>5</v>
      </c>
      <c r="C8">
        <v>1.3671874999999999E-3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4</v>
      </c>
      <c r="D1">
        <v>1800</v>
      </c>
    </row>
    <row r="2" spans="1:4" x14ac:dyDescent="0.3">
      <c r="A2" t="s">
        <v>0</v>
      </c>
      <c r="B2" t="s">
        <v>1</v>
      </c>
      <c r="C2" t="s">
        <v>5</v>
      </c>
      <c r="D2">
        <v>200</v>
      </c>
    </row>
    <row r="3" spans="1:4" x14ac:dyDescent="0.3">
      <c r="A3" t="s">
        <v>0</v>
      </c>
      <c r="B3" t="s">
        <v>2</v>
      </c>
      <c r="C3" t="s">
        <v>4</v>
      </c>
      <c r="D3">
        <v>1950</v>
      </c>
    </row>
    <row r="4" spans="1:4" x14ac:dyDescent="0.3">
      <c r="A4" t="s">
        <v>0</v>
      </c>
      <c r="B4" t="s">
        <v>3</v>
      </c>
      <c r="C4" t="s">
        <v>4</v>
      </c>
      <c r="D4">
        <v>2350</v>
      </c>
    </row>
    <row r="5" spans="1:4" x14ac:dyDescent="0.3">
      <c r="A5" t="s">
        <v>0</v>
      </c>
      <c r="B5" t="s">
        <v>3</v>
      </c>
      <c r="C5" t="s">
        <v>5</v>
      </c>
      <c r="D5">
        <v>400</v>
      </c>
    </row>
    <row r="6" spans="1:4" x14ac:dyDescent="0.3">
      <c r="A6" t="s">
        <v>1</v>
      </c>
      <c r="B6" t="s">
        <v>0</v>
      </c>
      <c r="C6" t="s">
        <v>4</v>
      </c>
      <c r="D6">
        <v>1800</v>
      </c>
    </row>
    <row r="7" spans="1:4" x14ac:dyDescent="0.3">
      <c r="A7" t="s">
        <v>1</v>
      </c>
      <c r="B7" t="s">
        <v>0</v>
      </c>
      <c r="C7" t="s">
        <v>5</v>
      </c>
      <c r="D7">
        <v>200</v>
      </c>
    </row>
    <row r="8" spans="1:4" x14ac:dyDescent="0.3">
      <c r="A8" t="s">
        <v>1</v>
      </c>
      <c r="B8" t="s">
        <v>2</v>
      </c>
      <c r="C8" t="s">
        <v>4</v>
      </c>
      <c r="D8">
        <v>150</v>
      </c>
    </row>
    <row r="9" spans="1:4" x14ac:dyDescent="0.3">
      <c r="A9" t="s">
        <v>1</v>
      </c>
      <c r="B9" t="s">
        <v>2</v>
      </c>
      <c r="C9" t="s">
        <v>5</v>
      </c>
      <c r="D9">
        <v>200</v>
      </c>
    </row>
    <row r="10" spans="1:4" x14ac:dyDescent="0.3">
      <c r="A10" t="s">
        <v>1</v>
      </c>
      <c r="B10" t="s">
        <v>3</v>
      </c>
      <c r="C10" t="s">
        <v>4</v>
      </c>
      <c r="D10">
        <v>550</v>
      </c>
    </row>
    <row r="11" spans="1:4" x14ac:dyDescent="0.3">
      <c r="A11" t="s">
        <v>1</v>
      </c>
      <c r="B11" t="s">
        <v>3</v>
      </c>
      <c r="C11" t="s">
        <v>5</v>
      </c>
      <c r="D11">
        <v>200</v>
      </c>
    </row>
    <row r="12" spans="1:4" x14ac:dyDescent="0.3">
      <c r="A12" t="s">
        <v>2</v>
      </c>
      <c r="B12" t="s">
        <v>0</v>
      </c>
      <c r="C12" t="s">
        <v>4</v>
      </c>
      <c r="D12">
        <v>1950</v>
      </c>
    </row>
    <row r="13" spans="1:4" x14ac:dyDescent="0.3">
      <c r="A13" t="s">
        <v>2</v>
      </c>
      <c r="B13" t="s">
        <v>1</v>
      </c>
      <c r="C13" t="s">
        <v>4</v>
      </c>
      <c r="D13">
        <v>150</v>
      </c>
    </row>
    <row r="14" spans="1:4" x14ac:dyDescent="0.3">
      <c r="A14" t="s">
        <v>2</v>
      </c>
      <c r="B14" t="s">
        <v>1</v>
      </c>
      <c r="C14" t="s">
        <v>5</v>
      </c>
      <c r="D14">
        <v>200</v>
      </c>
    </row>
    <row r="15" spans="1:4" x14ac:dyDescent="0.3">
      <c r="A15" t="s">
        <v>2</v>
      </c>
      <c r="B15" t="s">
        <v>3</v>
      </c>
      <c r="C15" t="s">
        <v>4</v>
      </c>
      <c r="D15">
        <v>400</v>
      </c>
    </row>
    <row r="16" spans="1:4" x14ac:dyDescent="0.3">
      <c r="A16" t="s">
        <v>2</v>
      </c>
      <c r="B16" t="s">
        <v>3</v>
      </c>
      <c r="C16" t="s">
        <v>5</v>
      </c>
      <c r="D16">
        <v>400</v>
      </c>
    </row>
    <row r="17" spans="1:4" x14ac:dyDescent="0.3">
      <c r="A17" t="s">
        <v>3</v>
      </c>
      <c r="B17" t="s">
        <v>0</v>
      </c>
      <c r="C17" t="s">
        <v>4</v>
      </c>
      <c r="D17">
        <v>2350</v>
      </c>
    </row>
    <row r="18" spans="1:4" x14ac:dyDescent="0.3">
      <c r="A18" t="s">
        <v>3</v>
      </c>
      <c r="B18" t="s">
        <v>0</v>
      </c>
      <c r="C18" t="s">
        <v>5</v>
      </c>
      <c r="D18">
        <v>400</v>
      </c>
    </row>
    <row r="19" spans="1:4" x14ac:dyDescent="0.3">
      <c r="A19" t="s">
        <v>3</v>
      </c>
      <c r="B19" t="s">
        <v>1</v>
      </c>
      <c r="C19" t="s">
        <v>4</v>
      </c>
      <c r="D19">
        <v>550</v>
      </c>
    </row>
    <row r="20" spans="1:4" x14ac:dyDescent="0.3">
      <c r="A20" t="s">
        <v>3</v>
      </c>
      <c r="B20" t="s">
        <v>1</v>
      </c>
      <c r="C20" t="s">
        <v>5</v>
      </c>
      <c r="D20">
        <v>200</v>
      </c>
    </row>
    <row r="21" spans="1:4" x14ac:dyDescent="0.3">
      <c r="A21" t="s">
        <v>3</v>
      </c>
      <c r="B21" t="s">
        <v>2</v>
      </c>
      <c r="C21" t="s">
        <v>4</v>
      </c>
      <c r="D21">
        <v>400</v>
      </c>
    </row>
    <row r="22" spans="1:4" x14ac:dyDescent="0.3">
      <c r="A22" t="s">
        <v>3</v>
      </c>
      <c r="B22" t="s">
        <v>2</v>
      </c>
      <c r="C22" t="s">
        <v>5</v>
      </c>
      <c r="D22">
        <v>400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9"/>
  <sheetViews>
    <sheetView workbookViewId="0"/>
  </sheetViews>
  <sheetFormatPr defaultRowHeight="14.4" x14ac:dyDescent="0.3"/>
  <sheetData>
    <row r="1" spans="1:7" x14ac:dyDescent="0.3"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t="s">
        <v>0</v>
      </c>
      <c r="B2" t="s">
        <v>4</v>
      </c>
      <c r="C2">
        <v>3500000</v>
      </c>
      <c r="D2">
        <v>0</v>
      </c>
      <c r="E2">
        <v>0</v>
      </c>
      <c r="F2" t="s">
        <v>11</v>
      </c>
      <c r="G2">
        <v>1</v>
      </c>
    </row>
    <row r="3" spans="1:7" x14ac:dyDescent="0.3">
      <c r="A3" t="s">
        <v>0</v>
      </c>
      <c r="B3" t="s">
        <v>5</v>
      </c>
      <c r="C3">
        <v>3300000</v>
      </c>
      <c r="D3" t="s">
        <v>12</v>
      </c>
      <c r="E3">
        <v>0</v>
      </c>
      <c r="F3" t="s">
        <v>11</v>
      </c>
      <c r="G3">
        <v>1</v>
      </c>
    </row>
    <row r="4" spans="1:7" x14ac:dyDescent="0.3">
      <c r="A4" t="s">
        <v>1</v>
      </c>
      <c r="B4" t="s">
        <v>4</v>
      </c>
      <c r="C4">
        <v>7500000</v>
      </c>
      <c r="D4">
        <v>0</v>
      </c>
      <c r="E4">
        <v>0</v>
      </c>
      <c r="F4" t="s">
        <v>11</v>
      </c>
      <c r="G4">
        <v>1</v>
      </c>
    </row>
    <row r="5" spans="1:7" x14ac:dyDescent="0.3">
      <c r="A5" t="s">
        <v>1</v>
      </c>
      <c r="B5" t="s">
        <v>5</v>
      </c>
      <c r="C5">
        <v>6200000</v>
      </c>
      <c r="D5">
        <v>0</v>
      </c>
      <c r="E5">
        <v>0</v>
      </c>
      <c r="F5" t="s">
        <v>11</v>
      </c>
      <c r="G5">
        <v>1</v>
      </c>
    </row>
    <row r="6" spans="1:7" x14ac:dyDescent="0.3">
      <c r="A6" t="s">
        <v>2</v>
      </c>
      <c r="B6" t="s">
        <v>4</v>
      </c>
      <c r="C6">
        <v>4500000</v>
      </c>
      <c r="D6" t="s">
        <v>12</v>
      </c>
      <c r="E6">
        <v>0</v>
      </c>
      <c r="F6" t="s">
        <v>11</v>
      </c>
      <c r="G6">
        <v>1</v>
      </c>
    </row>
    <row r="7" spans="1:7" x14ac:dyDescent="0.3">
      <c r="A7" t="s">
        <v>2</v>
      </c>
      <c r="B7" t="s">
        <v>5</v>
      </c>
      <c r="C7">
        <v>4499999.9999999991</v>
      </c>
      <c r="D7">
        <v>-3.637978807091713E-12</v>
      </c>
      <c r="E7">
        <v>0</v>
      </c>
      <c r="F7" t="s">
        <v>11</v>
      </c>
      <c r="G7">
        <v>1</v>
      </c>
    </row>
    <row r="8" spans="1:7" x14ac:dyDescent="0.3">
      <c r="A8" t="s">
        <v>3</v>
      </c>
      <c r="B8" t="s">
        <v>4</v>
      </c>
      <c r="C8">
        <v>57500000</v>
      </c>
      <c r="D8">
        <v>0</v>
      </c>
      <c r="E8">
        <v>0</v>
      </c>
      <c r="F8" t="s">
        <v>11</v>
      </c>
      <c r="G8">
        <v>1</v>
      </c>
    </row>
    <row r="9" spans="1:7" x14ac:dyDescent="0.3">
      <c r="A9" t="s">
        <v>3</v>
      </c>
      <c r="B9" t="s">
        <v>5</v>
      </c>
      <c r="C9">
        <v>16000000</v>
      </c>
      <c r="D9">
        <v>0</v>
      </c>
      <c r="E9">
        <v>0</v>
      </c>
      <c r="F9" t="s">
        <v>11</v>
      </c>
      <c r="G9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workbookViewId="0"/>
  </sheetViews>
  <sheetFormatPr defaultRowHeight="14.4" x14ac:dyDescent="0.3"/>
  <sheetData>
    <row r="1" spans="1:7" x14ac:dyDescent="0.3"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t="s">
        <v>0</v>
      </c>
      <c r="B2" t="s">
        <v>4</v>
      </c>
      <c r="C2">
        <v>700000.00000000012</v>
      </c>
      <c r="D2" t="s">
        <v>12</v>
      </c>
      <c r="E2">
        <v>0</v>
      </c>
      <c r="F2" t="s">
        <v>11</v>
      </c>
      <c r="G2">
        <v>1</v>
      </c>
    </row>
    <row r="3" spans="1:7" x14ac:dyDescent="0.3">
      <c r="A3" t="s">
        <v>0</v>
      </c>
      <c r="B3" t="s">
        <v>5</v>
      </c>
      <c r="C3">
        <v>5000000</v>
      </c>
      <c r="D3">
        <v>0</v>
      </c>
      <c r="E3">
        <v>0</v>
      </c>
      <c r="F3" t="s">
        <v>11</v>
      </c>
      <c r="G3">
        <v>1</v>
      </c>
    </row>
    <row r="4" spans="1:7" x14ac:dyDescent="0.3">
      <c r="A4" t="s">
        <v>1</v>
      </c>
      <c r="B4" t="s">
        <v>4</v>
      </c>
      <c r="C4">
        <v>3000000</v>
      </c>
      <c r="D4" t="s">
        <v>12</v>
      </c>
      <c r="E4">
        <v>0</v>
      </c>
      <c r="F4" t="s">
        <v>11</v>
      </c>
      <c r="G4">
        <v>1</v>
      </c>
    </row>
    <row r="5" spans="1:7" x14ac:dyDescent="0.3">
      <c r="A5" t="s">
        <v>1</v>
      </c>
      <c r="B5" t="s">
        <v>5</v>
      </c>
      <c r="C5">
        <v>6899999.9999999981</v>
      </c>
      <c r="D5">
        <v>3.637978807091713E-12</v>
      </c>
      <c r="E5">
        <v>0</v>
      </c>
      <c r="F5" t="s">
        <v>11</v>
      </c>
      <c r="G5">
        <v>1</v>
      </c>
    </row>
    <row r="6" spans="1:7" x14ac:dyDescent="0.3">
      <c r="A6" t="s">
        <v>2</v>
      </c>
      <c r="B6" t="s">
        <v>4</v>
      </c>
      <c r="C6">
        <v>7300000</v>
      </c>
      <c r="D6">
        <v>0</v>
      </c>
      <c r="E6">
        <v>0</v>
      </c>
      <c r="F6" t="s">
        <v>11</v>
      </c>
      <c r="G6">
        <v>1</v>
      </c>
    </row>
    <row r="7" spans="1:7" x14ac:dyDescent="0.3">
      <c r="A7" t="s">
        <v>2</v>
      </c>
      <c r="B7" t="s">
        <v>5</v>
      </c>
      <c r="C7">
        <v>5300000.0000000019</v>
      </c>
      <c r="D7">
        <v>0</v>
      </c>
      <c r="E7">
        <v>0</v>
      </c>
      <c r="F7" t="s">
        <v>11</v>
      </c>
      <c r="G7">
        <v>1</v>
      </c>
    </row>
    <row r="8" spans="1:7" x14ac:dyDescent="0.3">
      <c r="A8" t="s">
        <v>3</v>
      </c>
      <c r="B8" t="s">
        <v>4</v>
      </c>
      <c r="C8">
        <v>62000000</v>
      </c>
      <c r="D8">
        <v>9.0949470177292824E-13</v>
      </c>
      <c r="E8">
        <v>0</v>
      </c>
      <c r="F8" t="s">
        <v>11</v>
      </c>
      <c r="G8">
        <v>1</v>
      </c>
    </row>
    <row r="9" spans="1:7" x14ac:dyDescent="0.3">
      <c r="A9" t="s">
        <v>3</v>
      </c>
      <c r="B9" t="s">
        <v>5</v>
      </c>
      <c r="C9">
        <v>12800000</v>
      </c>
      <c r="D9" t="s">
        <v>12</v>
      </c>
      <c r="E9">
        <v>0</v>
      </c>
      <c r="F9" t="s">
        <v>11</v>
      </c>
      <c r="G9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>
      <selection activeCell="J12" sqref="J12"/>
    </sheetView>
  </sheetViews>
  <sheetFormatPr defaultRowHeight="14.4" x14ac:dyDescent="0.3"/>
  <cols>
    <col min="1" max="1" width="37.21875" customWidth="1"/>
  </cols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>
        <v>1531365000000</v>
      </c>
      <c r="B2">
        <v>0</v>
      </c>
      <c r="C2" t="s">
        <v>13</v>
      </c>
      <c r="D2" t="s">
        <v>11</v>
      </c>
      <c r="E2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/>
  </sheetViews>
  <sheetFormatPr defaultRowHeight="14.4" x14ac:dyDescent="0.3"/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>
        <v>0</v>
      </c>
      <c r="B2">
        <v>1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5"/>
  <sheetViews>
    <sheetView workbookViewId="0">
      <selection sqref="A1:D25"/>
    </sheetView>
  </sheetViews>
  <sheetFormatPr defaultRowHeight="14.4" x14ac:dyDescent="0.3"/>
  <sheetData>
    <row r="1" spans="1:8" x14ac:dyDescent="0.3"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 t="s">
        <v>0</v>
      </c>
      <c r="B2" t="s">
        <v>1</v>
      </c>
      <c r="C2" t="s">
        <v>4</v>
      </c>
      <c r="D2">
        <v>0</v>
      </c>
      <c r="E2">
        <v>-3600</v>
      </c>
      <c r="F2">
        <v>0</v>
      </c>
      <c r="G2" t="s">
        <v>11</v>
      </c>
      <c r="H2">
        <v>1</v>
      </c>
    </row>
    <row r="3" spans="1:8" x14ac:dyDescent="0.3">
      <c r="A3" t="s">
        <v>0</v>
      </c>
      <c r="B3" t="s">
        <v>1</v>
      </c>
      <c r="C3" t="s">
        <v>5</v>
      </c>
      <c r="D3">
        <v>505986.13572834042</v>
      </c>
      <c r="E3" t="s">
        <v>12</v>
      </c>
      <c r="F3">
        <v>0</v>
      </c>
      <c r="G3" t="s">
        <v>11</v>
      </c>
      <c r="H3">
        <v>1</v>
      </c>
    </row>
    <row r="4" spans="1:8" x14ac:dyDescent="0.3">
      <c r="A4" t="s">
        <v>0</v>
      </c>
      <c r="B4" t="s">
        <v>2</v>
      </c>
      <c r="C4" t="s">
        <v>4</v>
      </c>
      <c r="D4">
        <v>0</v>
      </c>
      <c r="E4">
        <v>-3900</v>
      </c>
      <c r="F4">
        <v>0</v>
      </c>
      <c r="G4" t="s">
        <v>11</v>
      </c>
      <c r="H4">
        <v>1</v>
      </c>
    </row>
    <row r="5" spans="1:8" x14ac:dyDescent="0.3">
      <c r="A5" t="s">
        <v>0</v>
      </c>
      <c r="B5" t="s">
        <v>2</v>
      </c>
      <c r="C5" t="s">
        <v>5</v>
      </c>
      <c r="D5">
        <v>597006.93213582539</v>
      </c>
      <c r="E5" t="s">
        <v>12</v>
      </c>
      <c r="F5">
        <v>0</v>
      </c>
      <c r="G5" t="s">
        <v>11</v>
      </c>
      <c r="H5">
        <v>1</v>
      </c>
    </row>
    <row r="6" spans="1:8" x14ac:dyDescent="0.3">
      <c r="A6" t="s">
        <v>0</v>
      </c>
      <c r="B6" t="s">
        <v>3</v>
      </c>
      <c r="C6" t="s">
        <v>4</v>
      </c>
      <c r="D6">
        <v>0</v>
      </c>
      <c r="E6">
        <v>-4699.9999999999991</v>
      </c>
      <c r="F6">
        <v>0</v>
      </c>
      <c r="G6" t="s">
        <v>11</v>
      </c>
      <c r="H6">
        <v>1</v>
      </c>
    </row>
    <row r="7" spans="1:8" x14ac:dyDescent="0.3">
      <c r="A7" t="s">
        <v>0</v>
      </c>
      <c r="B7" t="s">
        <v>3</v>
      </c>
      <c r="C7" t="s">
        <v>5</v>
      </c>
      <c r="D7">
        <v>597006.93213583413</v>
      </c>
      <c r="E7" t="s">
        <v>12</v>
      </c>
      <c r="F7">
        <v>0</v>
      </c>
      <c r="G7" t="s">
        <v>11</v>
      </c>
      <c r="H7">
        <v>1</v>
      </c>
    </row>
    <row r="8" spans="1:8" x14ac:dyDescent="0.3">
      <c r="A8" t="s">
        <v>1</v>
      </c>
      <c r="B8" t="s">
        <v>0</v>
      </c>
      <c r="C8" t="s">
        <v>4</v>
      </c>
      <c r="D8">
        <v>2799999.9999999991</v>
      </c>
      <c r="E8" t="s">
        <v>12</v>
      </c>
      <c r="F8">
        <v>0</v>
      </c>
      <c r="G8" t="s">
        <v>11</v>
      </c>
      <c r="H8">
        <v>1</v>
      </c>
    </row>
    <row r="9" spans="1:8" x14ac:dyDescent="0.3">
      <c r="A9" t="s">
        <v>1</v>
      </c>
      <c r="B9" t="s">
        <v>0</v>
      </c>
      <c r="C9" t="s">
        <v>5</v>
      </c>
      <c r="D9">
        <v>0</v>
      </c>
      <c r="E9">
        <v>-400</v>
      </c>
      <c r="F9">
        <v>0</v>
      </c>
      <c r="G9" t="s">
        <v>11</v>
      </c>
      <c r="H9">
        <v>1</v>
      </c>
    </row>
    <row r="10" spans="1:8" x14ac:dyDescent="0.3">
      <c r="A10" t="s">
        <v>1</v>
      </c>
      <c r="B10" t="s">
        <v>2</v>
      </c>
      <c r="C10" t="s">
        <v>4</v>
      </c>
      <c r="D10">
        <v>0</v>
      </c>
      <c r="E10">
        <v>-300</v>
      </c>
      <c r="F10">
        <v>0</v>
      </c>
      <c r="G10" t="s">
        <v>11</v>
      </c>
      <c r="H10">
        <v>1</v>
      </c>
    </row>
    <row r="11" spans="1:8" x14ac:dyDescent="0.3">
      <c r="A11" t="s">
        <v>1</v>
      </c>
      <c r="B11" t="s">
        <v>2</v>
      </c>
      <c r="C11" t="s">
        <v>5</v>
      </c>
      <c r="D11">
        <v>0</v>
      </c>
      <c r="E11">
        <v>-399.99999999999449</v>
      </c>
      <c r="F11">
        <v>0</v>
      </c>
      <c r="G11" t="s">
        <v>11</v>
      </c>
      <c r="H11">
        <v>1</v>
      </c>
    </row>
    <row r="12" spans="1:8" x14ac:dyDescent="0.3">
      <c r="A12" t="s">
        <v>1</v>
      </c>
      <c r="B12" t="s">
        <v>3</v>
      </c>
      <c r="C12" t="s">
        <v>4</v>
      </c>
      <c r="D12">
        <v>0</v>
      </c>
      <c r="E12">
        <v>-1099.9999999999991</v>
      </c>
      <c r="F12">
        <v>0</v>
      </c>
      <c r="G12" t="s">
        <v>11</v>
      </c>
      <c r="H12">
        <v>1</v>
      </c>
    </row>
    <row r="13" spans="1:8" x14ac:dyDescent="0.3">
      <c r="A13" s="1" t="s">
        <v>1</v>
      </c>
      <c r="B13" s="1" t="s">
        <v>3</v>
      </c>
      <c r="C13" s="1" t="s">
        <v>5</v>
      </c>
      <c r="D13" s="1">
        <v>1436399.219514932</v>
      </c>
      <c r="E13" s="1" t="s">
        <v>12</v>
      </c>
      <c r="F13">
        <v>0</v>
      </c>
      <c r="G13" t="s">
        <v>11</v>
      </c>
      <c r="H13">
        <v>1</v>
      </c>
    </row>
    <row r="14" spans="1:8" x14ac:dyDescent="0.3">
      <c r="A14" t="s">
        <v>2</v>
      </c>
      <c r="B14" t="s">
        <v>0</v>
      </c>
      <c r="C14" t="s">
        <v>4</v>
      </c>
      <c r="D14">
        <v>0</v>
      </c>
      <c r="E14" t="s">
        <v>12</v>
      </c>
      <c r="F14">
        <v>0</v>
      </c>
      <c r="G14" t="s">
        <v>11</v>
      </c>
      <c r="H14">
        <v>1</v>
      </c>
    </row>
    <row r="15" spans="1:8" x14ac:dyDescent="0.3">
      <c r="A15" t="s">
        <v>2</v>
      </c>
      <c r="B15" t="s">
        <v>0</v>
      </c>
      <c r="C15" t="s">
        <v>5</v>
      </c>
      <c r="D15">
        <v>0</v>
      </c>
      <c r="E15" t="s">
        <v>12</v>
      </c>
      <c r="F15">
        <v>0</v>
      </c>
      <c r="G15" t="s">
        <v>11</v>
      </c>
      <c r="H15">
        <v>1</v>
      </c>
    </row>
    <row r="16" spans="1:8" x14ac:dyDescent="0.3">
      <c r="A16" t="s">
        <v>2</v>
      </c>
      <c r="B16" t="s">
        <v>1</v>
      </c>
      <c r="C16" t="s">
        <v>4</v>
      </c>
      <c r="D16">
        <v>2800000.0000000009</v>
      </c>
      <c r="E16" t="s">
        <v>12</v>
      </c>
      <c r="F16">
        <v>0</v>
      </c>
      <c r="G16" t="s">
        <v>11</v>
      </c>
      <c r="H16">
        <v>1</v>
      </c>
    </row>
    <row r="17" spans="1:8" x14ac:dyDescent="0.3">
      <c r="A17" t="s">
        <v>2</v>
      </c>
      <c r="B17" t="s">
        <v>1</v>
      </c>
      <c r="C17" t="s">
        <v>5</v>
      </c>
      <c r="D17">
        <v>230413.08378659369</v>
      </c>
      <c r="E17" t="s">
        <v>12</v>
      </c>
      <c r="F17">
        <v>0</v>
      </c>
      <c r="G17" t="s">
        <v>11</v>
      </c>
      <c r="H17">
        <v>1</v>
      </c>
    </row>
    <row r="18" spans="1:8" x14ac:dyDescent="0.3">
      <c r="A18" t="s">
        <v>2</v>
      </c>
      <c r="B18" t="s">
        <v>3</v>
      </c>
      <c r="C18" t="s">
        <v>4</v>
      </c>
      <c r="D18">
        <v>0</v>
      </c>
      <c r="E18">
        <v>-799.99999999999909</v>
      </c>
      <c r="F18">
        <v>0</v>
      </c>
      <c r="G18" t="s">
        <v>11</v>
      </c>
      <c r="H18">
        <v>1</v>
      </c>
    </row>
    <row r="19" spans="1:8" x14ac:dyDescent="0.3">
      <c r="A19" t="s">
        <v>2</v>
      </c>
      <c r="B19" t="s">
        <v>3</v>
      </c>
      <c r="C19" t="s">
        <v>5</v>
      </c>
      <c r="D19">
        <v>1166593.8483492341</v>
      </c>
      <c r="E19">
        <v>-5.4569682106375686E-12</v>
      </c>
      <c r="F19">
        <v>0</v>
      </c>
      <c r="G19" t="s">
        <v>11</v>
      </c>
      <c r="H19">
        <v>1</v>
      </c>
    </row>
    <row r="20" spans="1:8" x14ac:dyDescent="0.3">
      <c r="A20" t="s">
        <v>3</v>
      </c>
      <c r="B20" t="s">
        <v>0</v>
      </c>
      <c r="C20" t="s">
        <v>4</v>
      </c>
      <c r="D20">
        <v>0</v>
      </c>
      <c r="E20" t="s">
        <v>12</v>
      </c>
      <c r="F20">
        <v>0</v>
      </c>
      <c r="G20" t="s">
        <v>11</v>
      </c>
      <c r="H20">
        <v>1</v>
      </c>
    </row>
    <row r="21" spans="1:8" x14ac:dyDescent="0.3">
      <c r="A21" t="s">
        <v>3</v>
      </c>
      <c r="B21" t="s">
        <v>0</v>
      </c>
      <c r="C21" t="s">
        <v>5</v>
      </c>
      <c r="D21">
        <v>0</v>
      </c>
      <c r="E21">
        <v>-800</v>
      </c>
      <c r="F21">
        <v>0</v>
      </c>
      <c r="G21" t="s">
        <v>11</v>
      </c>
      <c r="H21">
        <v>1</v>
      </c>
    </row>
    <row r="22" spans="1:8" x14ac:dyDescent="0.3">
      <c r="A22" t="s">
        <v>3</v>
      </c>
      <c r="B22" t="s">
        <v>1</v>
      </c>
      <c r="C22" t="s">
        <v>4</v>
      </c>
      <c r="D22">
        <v>4500000</v>
      </c>
      <c r="E22">
        <v>-9.0949470177292824E-13</v>
      </c>
      <c r="F22">
        <v>0</v>
      </c>
      <c r="G22" t="s">
        <v>11</v>
      </c>
      <c r="H22">
        <v>1</v>
      </c>
    </row>
    <row r="23" spans="1:8" x14ac:dyDescent="0.3">
      <c r="A23" t="s">
        <v>3</v>
      </c>
      <c r="B23" t="s">
        <v>1</v>
      </c>
      <c r="C23" t="s">
        <v>5</v>
      </c>
      <c r="D23">
        <v>0</v>
      </c>
      <c r="E23">
        <v>-400</v>
      </c>
      <c r="F23">
        <v>0</v>
      </c>
      <c r="G23" t="s">
        <v>11</v>
      </c>
      <c r="H23">
        <v>1</v>
      </c>
    </row>
    <row r="24" spans="1:8" x14ac:dyDescent="0.3">
      <c r="A24" t="s">
        <v>3</v>
      </c>
      <c r="B24" t="s">
        <v>2</v>
      </c>
      <c r="C24" t="s">
        <v>4</v>
      </c>
      <c r="D24">
        <v>0</v>
      </c>
      <c r="E24" t="s">
        <v>12</v>
      </c>
      <c r="F24">
        <v>0</v>
      </c>
      <c r="G24" t="s">
        <v>11</v>
      </c>
      <c r="H24">
        <v>1</v>
      </c>
    </row>
    <row r="25" spans="1:8" x14ac:dyDescent="0.3">
      <c r="A25" t="s">
        <v>3</v>
      </c>
      <c r="B25" t="s">
        <v>2</v>
      </c>
      <c r="C25" t="s">
        <v>5</v>
      </c>
      <c r="D25">
        <v>0</v>
      </c>
      <c r="E25">
        <v>-799.99999999999454</v>
      </c>
      <c r="F25">
        <v>0</v>
      </c>
      <c r="G25" t="s">
        <v>11</v>
      </c>
      <c r="H25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9"/>
  <sheetViews>
    <sheetView workbookViewId="0"/>
  </sheetViews>
  <sheetFormatPr defaultRowHeight="14.4" x14ac:dyDescent="0.3"/>
  <sheetData>
    <row r="1" spans="1:7" x14ac:dyDescent="0.3"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t="s">
        <v>0</v>
      </c>
      <c r="B2" t="s">
        <v>4</v>
      </c>
      <c r="C2">
        <v>0</v>
      </c>
      <c r="D2">
        <v>5500</v>
      </c>
      <c r="E2">
        <v>0</v>
      </c>
      <c r="F2">
        <v>0</v>
      </c>
      <c r="G2">
        <v>1</v>
      </c>
    </row>
    <row r="3" spans="1:7" x14ac:dyDescent="0.3">
      <c r="A3" t="s">
        <v>0</v>
      </c>
      <c r="B3" t="s">
        <v>5</v>
      </c>
      <c r="C3">
        <v>0</v>
      </c>
      <c r="D3">
        <v>3100</v>
      </c>
      <c r="E3">
        <v>0</v>
      </c>
      <c r="F3">
        <v>0</v>
      </c>
      <c r="G3">
        <v>1</v>
      </c>
    </row>
    <row r="4" spans="1:7" x14ac:dyDescent="0.3">
      <c r="A4" t="s">
        <v>1</v>
      </c>
      <c r="B4" t="s">
        <v>4</v>
      </c>
      <c r="C4">
        <v>0</v>
      </c>
      <c r="D4">
        <v>3700</v>
      </c>
      <c r="E4">
        <v>0</v>
      </c>
      <c r="F4">
        <v>0</v>
      </c>
      <c r="G4">
        <v>1</v>
      </c>
    </row>
    <row r="5" spans="1:7" x14ac:dyDescent="0.3">
      <c r="A5" t="s">
        <v>1</v>
      </c>
      <c r="B5" t="s">
        <v>5</v>
      </c>
      <c r="C5">
        <v>0</v>
      </c>
      <c r="D5">
        <v>3300</v>
      </c>
      <c r="E5">
        <v>0</v>
      </c>
      <c r="F5">
        <v>0</v>
      </c>
      <c r="G5">
        <v>1</v>
      </c>
    </row>
    <row r="6" spans="1:7" x14ac:dyDescent="0.3">
      <c r="A6" t="s">
        <v>2</v>
      </c>
      <c r="B6" t="s">
        <v>4</v>
      </c>
      <c r="C6">
        <v>0</v>
      </c>
      <c r="D6">
        <v>3550</v>
      </c>
      <c r="E6">
        <v>0</v>
      </c>
      <c r="F6">
        <v>0</v>
      </c>
      <c r="G6">
        <v>1</v>
      </c>
    </row>
    <row r="7" spans="1:7" x14ac:dyDescent="0.3">
      <c r="A7" t="s">
        <v>2</v>
      </c>
      <c r="B7" t="s">
        <v>5</v>
      </c>
      <c r="C7">
        <v>0</v>
      </c>
      <c r="D7">
        <v>3100.000000000005</v>
      </c>
      <c r="E7">
        <v>0</v>
      </c>
      <c r="F7">
        <v>0</v>
      </c>
      <c r="G7">
        <v>1</v>
      </c>
    </row>
    <row r="8" spans="1:7" x14ac:dyDescent="0.3">
      <c r="A8" t="s">
        <v>3</v>
      </c>
      <c r="B8" t="s">
        <v>4</v>
      </c>
      <c r="C8">
        <v>0</v>
      </c>
      <c r="D8">
        <v>3150.0000000000009</v>
      </c>
      <c r="E8">
        <v>0</v>
      </c>
      <c r="F8">
        <v>0</v>
      </c>
      <c r="G8">
        <v>1</v>
      </c>
    </row>
    <row r="9" spans="1:7" x14ac:dyDescent="0.3">
      <c r="A9" t="s">
        <v>3</v>
      </c>
      <c r="B9" t="s">
        <v>5</v>
      </c>
      <c r="C9">
        <v>0</v>
      </c>
      <c r="D9">
        <v>3500</v>
      </c>
      <c r="E9">
        <v>0</v>
      </c>
      <c r="F9">
        <v>0</v>
      </c>
      <c r="G9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4"/>
  <sheetViews>
    <sheetView workbookViewId="0"/>
  </sheetViews>
  <sheetFormatPr defaultRowHeight="14.4" x14ac:dyDescent="0.3"/>
  <sheetData>
    <row r="1" spans="1:5" x14ac:dyDescent="0.3">
      <c r="A1" t="s">
        <v>14</v>
      </c>
      <c r="B1" t="s">
        <v>15</v>
      </c>
      <c r="C1" t="s">
        <v>0</v>
      </c>
      <c r="D1" t="s">
        <v>4</v>
      </c>
      <c r="E1">
        <v>3500000</v>
      </c>
    </row>
    <row r="2" spans="1:5" x14ac:dyDescent="0.3">
      <c r="A2" t="s">
        <v>14</v>
      </c>
      <c r="B2" t="s">
        <v>15</v>
      </c>
      <c r="C2" t="s">
        <v>0</v>
      </c>
      <c r="D2" t="s">
        <v>5</v>
      </c>
      <c r="E2">
        <v>3300000</v>
      </c>
    </row>
    <row r="3" spans="1:5" x14ac:dyDescent="0.3">
      <c r="A3" t="s">
        <v>14</v>
      </c>
      <c r="B3" t="s">
        <v>15</v>
      </c>
      <c r="C3" t="s">
        <v>1</v>
      </c>
      <c r="D3" t="s">
        <v>4</v>
      </c>
      <c r="E3">
        <v>7500000</v>
      </c>
    </row>
    <row r="4" spans="1:5" x14ac:dyDescent="0.3">
      <c r="A4" t="s">
        <v>14</v>
      </c>
      <c r="B4" t="s">
        <v>15</v>
      </c>
      <c r="C4" t="s">
        <v>1</v>
      </c>
      <c r="D4" t="s">
        <v>5</v>
      </c>
      <c r="E4">
        <v>6200000</v>
      </c>
    </row>
    <row r="5" spans="1:5" x14ac:dyDescent="0.3">
      <c r="A5" t="s">
        <v>14</v>
      </c>
      <c r="B5" t="s">
        <v>15</v>
      </c>
      <c r="C5" t="s">
        <v>2</v>
      </c>
      <c r="D5" t="s">
        <v>4</v>
      </c>
      <c r="E5">
        <v>4500000</v>
      </c>
    </row>
    <row r="6" spans="1:5" x14ac:dyDescent="0.3">
      <c r="A6" t="s">
        <v>14</v>
      </c>
      <c r="B6" t="s">
        <v>15</v>
      </c>
      <c r="C6" t="s">
        <v>2</v>
      </c>
      <c r="D6" t="s">
        <v>5</v>
      </c>
      <c r="E6">
        <v>4499999.9999999991</v>
      </c>
    </row>
    <row r="7" spans="1:5" x14ac:dyDescent="0.3">
      <c r="A7" t="s">
        <v>14</v>
      </c>
      <c r="B7" t="s">
        <v>15</v>
      </c>
      <c r="C7" t="s">
        <v>3</v>
      </c>
      <c r="D7" t="s">
        <v>4</v>
      </c>
      <c r="E7">
        <v>57500000</v>
      </c>
    </row>
    <row r="8" spans="1:5" x14ac:dyDescent="0.3">
      <c r="A8" t="s">
        <v>14</v>
      </c>
      <c r="B8" t="s">
        <v>15</v>
      </c>
      <c r="C8" t="s">
        <v>3</v>
      </c>
      <c r="D8" t="s">
        <v>5</v>
      </c>
      <c r="E8">
        <v>16000000</v>
      </c>
    </row>
    <row r="9" spans="1:5" x14ac:dyDescent="0.3">
      <c r="A9" t="s">
        <v>14</v>
      </c>
      <c r="B9" t="s">
        <v>16</v>
      </c>
      <c r="C9" t="s">
        <v>0</v>
      </c>
      <c r="D9" t="s">
        <v>4</v>
      </c>
      <c r="E9">
        <v>700000.00000000012</v>
      </c>
    </row>
    <row r="10" spans="1:5" x14ac:dyDescent="0.3">
      <c r="A10" t="s">
        <v>14</v>
      </c>
      <c r="B10" t="s">
        <v>16</v>
      </c>
      <c r="C10" t="s">
        <v>0</v>
      </c>
      <c r="D10" t="s">
        <v>5</v>
      </c>
      <c r="E10">
        <v>5000000</v>
      </c>
    </row>
    <row r="11" spans="1:5" x14ac:dyDescent="0.3">
      <c r="A11" t="s">
        <v>14</v>
      </c>
      <c r="B11" t="s">
        <v>16</v>
      </c>
      <c r="C11" t="s">
        <v>1</v>
      </c>
      <c r="D11" t="s">
        <v>4</v>
      </c>
      <c r="E11">
        <v>3000000</v>
      </c>
    </row>
    <row r="12" spans="1:5" x14ac:dyDescent="0.3">
      <c r="A12" t="s">
        <v>14</v>
      </c>
      <c r="B12" t="s">
        <v>16</v>
      </c>
      <c r="C12" t="s">
        <v>1</v>
      </c>
      <c r="D12" t="s">
        <v>5</v>
      </c>
      <c r="E12">
        <v>6899999.9999999981</v>
      </c>
    </row>
    <row r="13" spans="1:5" x14ac:dyDescent="0.3">
      <c r="A13" t="s">
        <v>14</v>
      </c>
      <c r="B13" t="s">
        <v>16</v>
      </c>
      <c r="C13" t="s">
        <v>2</v>
      </c>
      <c r="D13" t="s">
        <v>4</v>
      </c>
      <c r="E13">
        <v>7300000</v>
      </c>
    </row>
    <row r="14" spans="1:5" x14ac:dyDescent="0.3">
      <c r="A14" t="s">
        <v>14</v>
      </c>
      <c r="B14" t="s">
        <v>16</v>
      </c>
      <c r="C14" t="s">
        <v>2</v>
      </c>
      <c r="D14" t="s">
        <v>5</v>
      </c>
      <c r="E14">
        <v>5300000.0000000019</v>
      </c>
    </row>
    <row r="15" spans="1:5" x14ac:dyDescent="0.3">
      <c r="A15" t="s">
        <v>14</v>
      </c>
      <c r="B15" t="s">
        <v>16</v>
      </c>
      <c r="C15" t="s">
        <v>3</v>
      </c>
      <c r="D15" t="s">
        <v>4</v>
      </c>
      <c r="E15">
        <v>62000000</v>
      </c>
    </row>
    <row r="16" spans="1:5" x14ac:dyDescent="0.3">
      <c r="A16" t="s">
        <v>14</v>
      </c>
      <c r="B16" t="s">
        <v>16</v>
      </c>
      <c r="C16" t="s">
        <v>3</v>
      </c>
      <c r="D16" t="s">
        <v>5</v>
      </c>
      <c r="E16">
        <v>12800000</v>
      </c>
    </row>
    <row r="17" spans="1:5" x14ac:dyDescent="0.3">
      <c r="A17" t="s">
        <v>14</v>
      </c>
      <c r="B17" t="s">
        <v>17</v>
      </c>
      <c r="C17" t="s">
        <v>0</v>
      </c>
      <c r="D17" t="s">
        <v>4</v>
      </c>
      <c r="E17">
        <v>5500</v>
      </c>
    </row>
    <row r="18" spans="1:5" x14ac:dyDescent="0.3">
      <c r="A18" t="s">
        <v>14</v>
      </c>
      <c r="B18" t="s">
        <v>17</v>
      </c>
      <c r="C18" t="s">
        <v>0</v>
      </c>
      <c r="D18" t="s">
        <v>5</v>
      </c>
      <c r="E18">
        <v>3100</v>
      </c>
    </row>
    <row r="19" spans="1:5" x14ac:dyDescent="0.3">
      <c r="A19" t="s">
        <v>14</v>
      </c>
      <c r="B19" t="s">
        <v>17</v>
      </c>
      <c r="C19" t="s">
        <v>1</v>
      </c>
      <c r="D19" t="s">
        <v>4</v>
      </c>
      <c r="E19">
        <v>3700</v>
      </c>
    </row>
    <row r="20" spans="1:5" x14ac:dyDescent="0.3">
      <c r="A20" t="s">
        <v>14</v>
      </c>
      <c r="B20" t="s">
        <v>17</v>
      </c>
      <c r="C20" t="s">
        <v>1</v>
      </c>
      <c r="D20" t="s">
        <v>5</v>
      </c>
      <c r="E20">
        <v>3300</v>
      </c>
    </row>
    <row r="21" spans="1:5" x14ac:dyDescent="0.3">
      <c r="A21" t="s">
        <v>14</v>
      </c>
      <c r="B21" t="s">
        <v>17</v>
      </c>
      <c r="C21" t="s">
        <v>2</v>
      </c>
      <c r="D21" t="s">
        <v>4</v>
      </c>
      <c r="E21">
        <v>3550</v>
      </c>
    </row>
    <row r="22" spans="1:5" x14ac:dyDescent="0.3">
      <c r="A22" t="s">
        <v>14</v>
      </c>
      <c r="B22" t="s">
        <v>17</v>
      </c>
      <c r="C22" t="s">
        <v>2</v>
      </c>
      <c r="D22" t="s">
        <v>5</v>
      </c>
      <c r="E22">
        <v>3100.000000000005</v>
      </c>
    </row>
    <row r="23" spans="1:5" x14ac:dyDescent="0.3">
      <c r="A23" t="s">
        <v>14</v>
      </c>
      <c r="B23" t="s">
        <v>17</v>
      </c>
      <c r="C23" t="s">
        <v>3</v>
      </c>
      <c r="D23" t="s">
        <v>4</v>
      </c>
      <c r="E23">
        <v>3150.0000000000009</v>
      </c>
    </row>
    <row r="24" spans="1:5" x14ac:dyDescent="0.3">
      <c r="A24" t="s">
        <v>14</v>
      </c>
      <c r="B24" t="s">
        <v>17</v>
      </c>
      <c r="C24" t="s">
        <v>3</v>
      </c>
      <c r="D24" t="s">
        <v>5</v>
      </c>
      <c r="E24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</vt:lpstr>
      <vt:lpstr>al</vt:lpstr>
      <vt:lpstr>Table For Milestone 2</vt:lpstr>
      <vt:lpstr>pbar</vt:lpstr>
      <vt:lpstr>qbar_s</vt:lpstr>
      <vt:lpstr>qbar_d</vt:lpstr>
      <vt:lpstr>e_s</vt:lpstr>
      <vt:lpstr>e_d</vt:lpstr>
      <vt:lpstr>a</vt:lpstr>
      <vt:lpstr>b</vt:lpstr>
      <vt:lpstr>c</vt:lpstr>
      <vt:lpstr>d</vt:lpstr>
      <vt:lpstr>rr</vt:lpstr>
      <vt:lpstr>t</vt:lpstr>
      <vt:lpstr>Qd</vt:lpstr>
      <vt:lpstr>Qs</vt:lpstr>
      <vt:lpstr>W</vt:lpstr>
      <vt:lpstr>objfn</vt:lpstr>
      <vt:lpstr>ship</vt:lpstr>
      <vt:lpstr>market_clearing_r</vt:lpstr>
      <vt:lpstr>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Arianna Smith</cp:lastModifiedBy>
  <dcterms:created xsi:type="dcterms:W3CDTF">2026-10-09T17:26:12Z</dcterms:created>
  <dcterms:modified xsi:type="dcterms:W3CDTF">2026-10-09T18:31:37Z</dcterms:modified>
</cp:coreProperties>
</file>